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120" yWindow="-120" windowWidth="20730" windowHeight="11040" firstSheet="1" activeTab="2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62913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2" i="3" l="1"/>
  <c r="E22" i="3"/>
</calcChain>
</file>

<file path=xl/sharedStrings.xml><?xml version="1.0" encoding="utf-8"?>
<sst xmlns="http://schemas.openxmlformats.org/spreadsheetml/2006/main" count="2033" uniqueCount="328">
  <si>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</si>
  <si>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</si>
  <si>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</si>
  <si>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</si>
  <si>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</si>
  <si>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</si>
  <si>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</si>
  <si>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</si>
  <si>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</si>
  <si>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</si>
  <si>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</si>
  <si>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</si>
  <si>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</si>
  <si>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</si>
  <si>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</si>
  <si>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</si>
  <si>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</si>
  <si>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</si>
  <si>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</si>
  <si>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</si>
  <si>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</si>
  <si>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</si>
  <si>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</si>
  <si>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</si>
  <si>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</si>
  <si>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</si>
  <si>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</si>
  <si>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</si>
  <si>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</si>
  <si>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</si>
  <si>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</si>
  <si>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</si>
  <si>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</si>
  <si>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</si>
  <si>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</si>
  <si>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</si>
  <si>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</si>
  <si>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</si>
  <si>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</si>
  <si>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</si>
  <si>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</si>
  <si>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</si>
  <si>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</si>
  <si>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</si>
  <si>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</si>
  <si>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</si>
  <si>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</si>
  <si>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</si>
  <si>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</si>
  <si>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</si>
  <si>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</si>
  <si>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</si>
  <si>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</si>
  <si>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</si>
  <si>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</si>
  <si>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</si>
  <si>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</si>
  <si>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</si>
  <si>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</si>
  <si>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</si>
  <si>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</si>
  <si>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</si>
  <si>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</si>
  <si>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</si>
  <si>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</si>
  <si>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</si>
  <si>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</si>
  <si>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</si>
  <si>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</si>
  <si>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</si>
  <si>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</si>
  <si>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</si>
  <si>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</si>
  <si>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</si>
  <si>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</si>
  <si>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</si>
  <si>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</si>
  <si>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</si>
  <si>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</si>
  <si>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</si>
  <si>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</si>
  <si>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</si>
  <si>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</si>
  <si>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</si>
  <si>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</si>
  <si>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</si>
  <si>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</si>
  <si>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</si>
  <si>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</si>
  <si>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</si>
  <si>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</si>
  <si>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</si>
  <si>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</si>
  <si>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</si>
  <si>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</si>
  <si>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</si>
  <si>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</si>
  <si>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</si>
  <si>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</si>
  <si>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</si>
  <si>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</si>
  <si>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</si>
  <si>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</si>
  <si>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</si>
  <si>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</si>
  <si>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</si>
  <si>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</si>
  <si>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</si>
  <si>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</si>
  <si>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</si>
  <si>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</si>
  <si>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</si>
  <si>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</si>
  <si>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</si>
  <si>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</si>
  <si>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</si>
  <si>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</si>
  <si>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</si>
  <si>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</si>
  <si>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</si>
  <si>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</si>
  <si>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</si>
  <si>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</si>
  <si>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</si>
  <si>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</si>
  <si>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</si>
  <si>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</si>
  <si>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</si>
  <si>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</si>
  <si>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</si>
  <si>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</si>
  <si>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</si>
  <si>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</si>
  <si>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</si>
  <si>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</si>
  <si>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</si>
  <si>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</si>
  <si>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</si>
  <si>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</si>
  <si>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</si>
  <si>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</si>
  <si>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</si>
  <si>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</si>
  <si>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</si>
  <si>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</si>
  <si>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</si>
  <si>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</si>
  <si>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</si>
  <si>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</si>
  <si>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</si>
  <si>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</si>
  <si>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</si>
  <si>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</si>
  <si>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</si>
  <si>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</si>
  <si>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</si>
  <si>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</si>
  <si>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</si>
  <si>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</si>
  <si>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</si>
  <si>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</si>
  <si>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</si>
  <si>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</si>
  <si>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</si>
  <si>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</si>
  <si>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</si>
  <si>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</si>
  <si>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</si>
  <si>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</si>
  <si>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</si>
  <si>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</si>
  <si>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</si>
  <si>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</si>
  <si>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</si>
  <si>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</si>
  <si>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</si>
  <si>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</si>
  <si>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</si>
  <si>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</si>
  <si>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</si>
  <si>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</si>
  <si>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</si>
  <si>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</si>
  <si>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</si>
  <si>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</si>
  <si>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</si>
  <si>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</si>
  <si>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</si>
  <si>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</si>
  <si>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</si>
  <si>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</si>
  <si>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</si>
  <si>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</si>
  <si>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</si>
  <si>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</si>
  <si>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</si>
  <si>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</si>
  <si>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</si>
  <si>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</si>
  <si>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</si>
  <si>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</si>
  <si>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</si>
  <si>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</si>
  <si>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</si>
  <si>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</si>
  <si>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</si>
  <si>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</si>
  <si>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</si>
  <si>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</si>
  <si>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</si>
  <si>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</si>
  <si>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</si>
  <si>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</si>
  <si>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</si>
  <si>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</si>
  <si>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</si>
  <si>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</si>
  <si>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</si>
  <si>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</si>
  <si>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</si>
  <si>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</si>
  <si>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</si>
  <si>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</si>
  <si>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</si>
  <si>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</si>
  <si>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</si>
  <si>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</si>
  <si>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</si>
  <si>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</si>
  <si>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</si>
  <si>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</si>
  <si>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</si>
  <si>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</si>
  <si>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</si>
  <si>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</si>
  <si>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</si>
  <si>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</si>
  <si>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</si>
  <si>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</si>
  <si>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</si>
  <si>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</si>
  <si>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</si>
  <si>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</si>
  <si>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</si>
  <si>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</si>
  <si>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</si>
  <si>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</si>
  <si>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</si>
  <si>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</si>
  <si>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</si>
  <si>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</si>
  <si>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</si>
  <si>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</si>
  <si>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</si>
  <si>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</si>
  <si>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</si>
  <si>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</si>
  <si>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</si>
  <si>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</si>
  <si>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</si>
  <si>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</si>
  <si>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</si>
  <si>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</si>
  <si>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</si>
  <si>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</si>
  <si>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</si>
  <si>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</si>
  <si>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</si>
  <si>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</si>
  <si>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</si>
  <si>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</si>
  <si>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</si>
  <si>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</si>
  <si>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</si>
  <si>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</si>
  <si>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</si>
  <si>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</si>
  <si>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</si>
  <si>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</si>
  <si>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</si>
  <si>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</si>
  <si>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</si>
  <si>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</si>
  <si>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</si>
  <si>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</si>
  <si>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</si>
  <si>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</si>
  <si>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</si>
  <si>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</si>
  <si>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</si>
  <si>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</si>
  <si>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</si>
  <si>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</si>
  <si>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</si>
  <si>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</si>
  <si>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</si>
  <si>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</si>
  <si>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</si>
  <si>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</si>
  <si>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</si>
  <si>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</si>
  <si>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</si>
  <si>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</si>
  <si>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</si>
  <si>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</si>
  <si>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</si>
  <si>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</si>
  <si>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</si>
  <si>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</si>
  <si>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</si>
  <si>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</si>
  <si>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</si>
  <si>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</si>
  <si>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Soma de Total Value</t>
  </si>
  <si>
    <t>Rótulos de Linha</t>
  </si>
  <si>
    <t>Total Geral</t>
  </si>
  <si>
    <t>XBOX GAME SUBSCRIPTIONS SALES</t>
  </si>
  <si>
    <t>Soma de EA Play Season Pass</t>
  </si>
  <si>
    <t>Soma de Minecraft Season Pass Price</t>
  </si>
  <si>
    <t>:</t>
  </si>
  <si>
    <t>#TABELA DINÂMICA PARA MOSTRAR QUANTAS ASSINATURAS TEMOS EM CADA PLANO E QUANTO ISSO RENDE DE RECEITA PARA A XBOX</t>
  </si>
  <si>
    <t>Total Subscribers</t>
  </si>
  <si>
    <t>Total Revenue</t>
  </si>
  <si>
    <t>COM FILTRO DE ANNUAL , MONTHLY , QUARTERLY. ENTREGANDO AINDA UM INSIGHT DE QUAL PLANO TEM MAIOR RECEITA POR ASSINANTE</t>
  </si>
  <si>
    <t>Pergunta Negócio 3 - Total de Vendas da Assinatura do EA Play</t>
  </si>
  <si>
    <t>Pergunta Negócio 4 - Total de Vendas da Assinatura do EA Play</t>
  </si>
  <si>
    <t>Pergunta Negócio 5 - Total de Receita e Vendas de cada plano (Core, Standard , Ultimate) visando comparar o desempenho entre os mesmos.</t>
  </si>
  <si>
    <t>Pergunta de Negócio 1 - Qual faturamento Total de vendas de planos anuais (contendo todas as assinaturas agregadas)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</si>
</sst>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&quot;R$&quot;\ #,##0.00"/>
  </numFmts>
  <fonts count="10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Aptos Narrow"/>
      <family val="2"/>
      <scheme val="minor"/>
    </font>
    <font>
      <sz val="11"/>
      <color rgb="FF22C55E"/>
      <name val="Aptos Narrow"/>
      <family val="2"/>
      <scheme val="minor"/>
    </font>
    <font>
      <sz val="11"/>
      <color theme="9" tint="-0.249977111117893"/>
      <name val="Aptos Narrow"/>
      <scheme val="minor"/>
    </font>
    <font>
      <sz val="11"/>
      <color theme="1"/>
      <name val="Segoe UI"/>
      <family val="2"/>
    </font>
    <font>
      <sz val="10"/>
      <color theme="0"/>
      <name val="Segoe UI"/>
      <family val="2"/>
    </font>
    <font>
      <sz val="10"/>
      <color theme="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3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" fillId="0" borderId="2" xfId="1" applyBorder="1"/>
    <xf numFmtId="0" fontId="5" fillId="4" borderId="0" xfId="0" applyFont="1" applyFill="1"/>
    <xf numFmtId="0" fontId="6" fillId="0" borderId="0" xfId="0" applyFont="1"/>
    <xf numFmtId="44" fontId="0" fillId="8" borderId="0" xfId="2" applyFont="1" applyFill="1"/>
    <xf numFmtId="0" fontId="0" fillId="8" borderId="0" xfId="0" applyFill="1"/>
    <xf numFmtId="0" fontId="0" fillId="0" borderId="2" xfId="0" applyBorder="1"/>
    <xf numFmtId="0" fontId="4" fillId="0" borderId="2" xfId="1" applyFont="1" applyBorder="1" applyAlignment="1">
      <alignment horizontal="left"/>
    </xf>
    <xf numFmtId="44" fontId="0" fillId="0" borderId="0" xfId="0" applyNumberFormat="1"/>
    <xf numFmtId="0" fontId="8" fillId="9" borderId="0" xfId="0" applyFont="1" applyFill="1" applyAlignment="1">
      <alignment horizontal="left"/>
    </xf>
    <xf numFmtId="0" fontId="0" fillId="9" borderId="0" xfId="0" applyFill="1"/>
    <xf numFmtId="0" fontId="0" fillId="0" borderId="0" xfId="0" applyAlignment="1">
      <alignment wrapText="1"/>
    </xf>
    <xf numFmtId="0" fontId="7" fillId="0" borderId="0" xfId="0" applyFont="1"/>
    <xf numFmtId="0" fontId="9" fillId="9" borderId="0" xfId="0" applyFont="1" applyFill="1" applyAlignment="1">
      <alignment horizontal="left"/>
    </xf>
    <xf numFmtId="0" fontId="0" fillId="9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9">
    <dxf>
      <numFmt numFmtId="34" formatCode="_-&quot;R$&quot;\ * #,##0.00_-;\-&quot;R$&quot;\ * #,##0.00_-;_-&quot;R$&quot;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border>
        <left/>
        <right/>
        <top/>
        <bottom/>
        <vertical/>
        <horizontal/>
      </border>
    </dxf>
  </dxfs>
  <tableStyles count="2" defaultTableStyle="TableStyleMedium2" defaultPivotStyle="PivotStyleLight16">
    <tableStyle name="SlicerStyleDark6 2" pivot="0" table="0" count="10">
      <tableStyleElement type="wholeTable" dxfId="18"/>
      <tableStyleElement type="headerRow" dxfId="17"/>
    </tableStyle>
    <tableStyle name="SlicerStyleDark6 2 2" pivot="0" table="0" count="10">
      <tableStyleElement type="wholeTable" dxfId="16"/>
      <tableStyleElement type="headerRow" dxfId="15"/>
    </tableStyle>
  </tableStyles>
  <colors>
    <mruColors>
      <color rgb="FF5BF6A8"/>
      <color rgb="FF2AE6B1"/>
      <color rgb="FF22C55E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9"/>
              <bgColor theme="9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9"/>
              <bgColor theme="9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6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Dark6 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Dashboard para Xbox (DIO).xlsx]C̳álculos!Tabela dinâmica2</c:name>
    <c:fmtId val="5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cat>
            <c:strRef>
              <c:f>C̳álculos!$B$10:$B$12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C̳álculos!$C$10:$C$12</c:f>
              <c:numCache>
                <c:formatCode>"R$"\ #,##0.00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32-4284-90CC-843410DF8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0446320"/>
        <c:axId val="1140291024"/>
      </c:barChart>
      <c:catAx>
        <c:axId val="1070446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0291024"/>
        <c:crosses val="autoZero"/>
        <c:auto val="1"/>
        <c:lblAlgn val="ctr"/>
        <c:lblOffset val="100"/>
        <c:noMultiLvlLbl val="0"/>
      </c:catAx>
      <c:valAx>
        <c:axId val="1140291024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107044632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Dashboard para Xbox (DIO).xlsx]C̳álculos!Tabela dinâmica4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6.0967111177690769E-2"/>
          <c:y val="7.8747214676631913E-2"/>
          <c:w val="0.74460810312406089"/>
          <c:h val="0.9212527853233680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C̳álculos!$C$42</c:f>
              <c:strCache>
                <c:ptCount val="1"/>
                <c:pt idx="0">
                  <c:v>Total Subscribers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C̳álculos!$B$43:$B$46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C̳álculos!$C$43:$C$46</c:f>
              <c:numCache>
                <c:formatCode>General</c:formatCode>
                <c:ptCount val="3"/>
                <c:pt idx="0">
                  <c:v>24</c:v>
                </c:pt>
                <c:pt idx="1">
                  <c:v>27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33-44C5-A91B-08BB55852B95}"/>
            </c:ext>
          </c:extLst>
        </c:ser>
        <c:ser>
          <c:idx val="1"/>
          <c:order val="1"/>
          <c:tx>
            <c:strRef>
              <c:f>C̳álculos!$D$42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C̳álculos!$B$43:$B$46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C̳álculos!$D$43:$D$46</c:f>
              <c:numCache>
                <c:formatCode>_("R$"* #,##0.00_);_("R$"* \(#,##0.00\);_("R$"* "-"??_);_(@_)</c:formatCode>
                <c:ptCount val="3"/>
                <c:pt idx="0">
                  <c:v>120</c:v>
                </c:pt>
                <c:pt idx="1">
                  <c:v>270</c:v>
                </c:pt>
                <c:pt idx="2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33-44C5-A91B-08BB55852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62823087"/>
        <c:axId val="962823503"/>
      </c:barChart>
      <c:catAx>
        <c:axId val="962823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2823503"/>
        <c:crosses val="autoZero"/>
        <c:auto val="1"/>
        <c:lblAlgn val="ctr"/>
        <c:lblOffset val="100"/>
        <c:noMultiLvlLbl val="0"/>
      </c:catAx>
      <c:valAx>
        <c:axId val="9628235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2823087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2.xml"/><Relationship Id="rId3" Type="http://schemas.openxmlformats.org/officeDocument/2006/relationships/image" Target="../media/image7.png"/><Relationship Id="rId12" Type="http://schemas.openxmlformats.org/officeDocument/2006/relationships/image" Target="../media/image5.png"/><Relationship Id="rId2" Type="http://schemas.openxmlformats.org/officeDocument/2006/relationships/image" Target="../media/image6.png"/><Relationship Id="rId1" Type="http://schemas.openxmlformats.org/officeDocument/2006/relationships/image" Target="../media/image2.png"/><Relationship Id="rId11" Type="http://schemas.openxmlformats.org/officeDocument/2006/relationships/chart" Target="../charts/chart1.xml"/><Relationship Id="rId10" Type="http://schemas.openxmlformats.org/officeDocument/2006/relationships/image" Target="../media/image10.sv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=""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4</xdr:col>
      <xdr:colOff>142875</xdr:colOff>
      <xdr:row>22</xdr:row>
      <xdr:rowOff>161924</xdr:rowOff>
    </xdr:from>
    <xdr:to>
      <xdr:col>6</xdr:col>
      <xdr:colOff>549351</xdr:colOff>
      <xdr:row>26</xdr:row>
      <xdr:rowOff>152400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2886075" y="431482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=""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8</xdr:row>
      <xdr:rowOff>0</xdr:rowOff>
    </xdr:from>
    <xdr:to>
      <xdr:col>11</xdr:col>
      <xdr:colOff>304800</xdr:colOff>
      <xdr:row>9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304800</xdr:colOff>
      <xdr:row>9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9525</xdr:colOff>
      <xdr:row>28</xdr:row>
      <xdr:rowOff>95251</xdr:rowOff>
    </xdr:from>
    <xdr:to>
      <xdr:col>7</xdr:col>
      <xdr:colOff>0</xdr:colOff>
      <xdr:row>30</xdr:row>
      <xdr:rowOff>171451</xdr:rowOff>
    </xdr:to>
    <xdr:sp macro="" textlink="">
      <xdr:nvSpPr>
        <xdr:cNvPr id="2" name="Arredondar Retângulo no Mesmo Canto Lateral 1"/>
        <xdr:cNvSpPr/>
      </xdr:nvSpPr>
      <xdr:spPr>
        <a:xfrm>
          <a:off x="7419975" y="4257676"/>
          <a:ext cx="4667250" cy="438150"/>
        </a:xfrm>
        <a:prstGeom prst="round2Same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2647949</xdr:colOff>
      <xdr:row>28</xdr:row>
      <xdr:rowOff>104774</xdr:rowOff>
    </xdr:from>
    <xdr:to>
      <xdr:col>6</xdr:col>
      <xdr:colOff>2105024</xdr:colOff>
      <xdr:row>31</xdr:row>
      <xdr:rowOff>66674</xdr:rowOff>
    </xdr:to>
    <xdr:sp macro="" textlink="">
      <xdr:nvSpPr>
        <xdr:cNvPr id="3" name="CaixaDeTexto 2"/>
        <xdr:cNvSpPr txBox="1"/>
      </xdr:nvSpPr>
      <xdr:spPr>
        <a:xfrm>
          <a:off x="7381874" y="4267199"/>
          <a:ext cx="4695825" cy="504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50" b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#COLOQUEI PARA</a:t>
          </a:r>
          <a:r>
            <a:rPr lang="pt-BR" sz="1050" b="0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O DASHBOARD PUXA O VALOR DESTA CÉLULA PARA REALIZAR A FORMATAÇÃO DO DADO.</a:t>
          </a:r>
          <a:endParaRPr lang="pt-BR" sz="1050" b="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4</xdr:col>
      <xdr:colOff>9525</xdr:colOff>
      <xdr:row>18</xdr:row>
      <xdr:rowOff>104775</xdr:rowOff>
    </xdr:from>
    <xdr:to>
      <xdr:col>7</xdr:col>
      <xdr:colOff>0</xdr:colOff>
      <xdr:row>21</xdr:row>
      <xdr:rowOff>0</xdr:rowOff>
    </xdr:to>
    <xdr:sp macro="" textlink="">
      <xdr:nvSpPr>
        <xdr:cNvPr id="8" name="Arredondar Retângulo no Mesmo Canto Lateral 7"/>
        <xdr:cNvSpPr/>
      </xdr:nvSpPr>
      <xdr:spPr>
        <a:xfrm>
          <a:off x="7419975" y="2638425"/>
          <a:ext cx="4667250" cy="438150"/>
        </a:xfrm>
        <a:prstGeom prst="round2Same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9525</xdr:colOff>
      <xdr:row>18</xdr:row>
      <xdr:rowOff>104775</xdr:rowOff>
    </xdr:from>
    <xdr:to>
      <xdr:col>7</xdr:col>
      <xdr:colOff>28575</xdr:colOff>
      <xdr:row>21</xdr:row>
      <xdr:rowOff>66675</xdr:rowOff>
    </xdr:to>
    <xdr:sp macro="" textlink="">
      <xdr:nvSpPr>
        <xdr:cNvPr id="9" name="CaixaDeTexto 8"/>
        <xdr:cNvSpPr txBox="1"/>
      </xdr:nvSpPr>
      <xdr:spPr>
        <a:xfrm>
          <a:off x="7419975" y="2638425"/>
          <a:ext cx="4695825" cy="504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50" b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#COLOQUEI PARA</a:t>
          </a:r>
          <a:r>
            <a:rPr lang="pt-BR" sz="1050" b="0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O DASHBOARD PUXA O VALOR DESTA CÉLULA PARA REALIZAR A FORMATAÇÃO DO DADO.</a:t>
          </a:r>
          <a:endParaRPr lang="pt-BR" sz="1050" b="0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647701</xdr:colOff>
      <xdr:row>1</xdr:row>
      <xdr:rowOff>114300</xdr:rowOff>
    </xdr:from>
    <xdr:to>
      <xdr:col>6</xdr:col>
      <xdr:colOff>1371601</xdr:colOff>
      <xdr:row>4</xdr:row>
      <xdr:rowOff>133350</xdr:rowOff>
    </xdr:to>
    <xdr:sp macro="" textlink="">
      <xdr:nvSpPr>
        <xdr:cNvPr id="5" name="CaixaDeTexto 4"/>
        <xdr:cNvSpPr txBox="1"/>
      </xdr:nvSpPr>
      <xdr:spPr>
        <a:xfrm>
          <a:off x="647701" y="295275"/>
          <a:ext cx="7696200" cy="704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>
            <a:latin typeface="Segoe UI" panose="020B0502040204020203" pitchFamily="34" charset="0"/>
            <a:cs typeface="Segoe UI" panose="020B0502040204020203" pitchFamily="34" charset="0"/>
          </a:endParaRPr>
        </a:p>
        <a:p>
          <a:r>
            <a:rPr lang="pt-BR" sz="1100">
              <a:latin typeface="Segoe UI" panose="020B0502040204020203" pitchFamily="34" charset="0"/>
              <a:cs typeface="Segoe UI" panose="020B0502040204020203" pitchFamily="34" charset="0"/>
            </a:rPr>
            <a:t>Pergunta de Negócio 2 - Qual Faturamento Total de vendas de planos anuais, separado por auto renovação não é por auto renovação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38</xdr:row>
      <xdr:rowOff>154781</xdr:rowOff>
    </xdr:from>
    <xdr:to>
      <xdr:col>18</xdr:col>
      <xdr:colOff>302419</xdr:colOff>
      <xdr:row>57</xdr:row>
      <xdr:rowOff>178593</xdr:rowOff>
    </xdr:to>
    <xdr:grpSp>
      <xdr:nvGrpSpPr>
        <xdr:cNvPr id="31" name="Agrupar 30"/>
        <xdr:cNvGrpSpPr/>
      </xdr:nvGrpSpPr>
      <xdr:grpSpPr>
        <a:xfrm>
          <a:off x="2333625" y="7155656"/>
          <a:ext cx="11113294" cy="3417093"/>
          <a:chOff x="-1643061" y="-1333502"/>
          <a:chExt cx="11113294" cy="3417093"/>
        </a:xfrm>
      </xdr:grpSpPr>
      <xdr:sp macro="" textlink="">
        <xdr:nvSpPr>
          <xdr:cNvPr id="34" name="Retângulo Arredondado 33"/>
          <xdr:cNvSpPr/>
        </xdr:nvSpPr>
        <xdr:spPr>
          <a:xfrm>
            <a:off x="-1643061" y="-1214440"/>
            <a:ext cx="11113294" cy="3298031"/>
          </a:xfrm>
          <a:prstGeom prst="roundRect">
            <a:avLst>
              <a:gd name="adj" fmla="val 1164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3" name="Arredondar Retângulo no Mesmo Canto Lateral 32"/>
          <xdr:cNvSpPr/>
        </xdr:nvSpPr>
        <xdr:spPr>
          <a:xfrm>
            <a:off x="-1631155" y="-1333502"/>
            <a:ext cx="11101387" cy="428625"/>
          </a:xfrm>
          <a:prstGeom prst="round2SameRect">
            <a:avLst/>
          </a:prstGeom>
          <a:solidFill>
            <a:srgbClr val="22C55E"/>
          </a:solidFill>
          <a:ln>
            <a:solidFill>
              <a:srgbClr val="22C55E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4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AND REVENUE BY PLAN</a:t>
            </a:r>
            <a:endParaRPr lang="pt-BR" sz="14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0</xdr:colOff>
      <xdr:row>0</xdr:row>
      <xdr:rowOff>107156</xdr:rowOff>
    </xdr:from>
    <xdr:to>
      <xdr:col>0</xdr:col>
      <xdr:colOff>1785937</xdr:colOff>
      <xdr:row>5</xdr:row>
      <xdr:rowOff>22098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6589"/>
        <a:stretch/>
      </xdr:blipFill>
      <xdr:spPr>
        <a:xfrm>
          <a:off x="0" y="107156"/>
          <a:ext cx="1785937" cy="974598"/>
        </a:xfrm>
        <a:prstGeom prst="rect">
          <a:avLst/>
        </a:prstGeom>
      </xdr:spPr>
    </xdr:pic>
    <xdr:clientData/>
  </xdr:twoCellAnchor>
  <xdr:twoCellAnchor editAs="absolute">
    <xdr:from>
      <xdr:col>0</xdr:col>
      <xdr:colOff>23812</xdr:colOff>
      <xdr:row>12</xdr:row>
      <xdr:rowOff>100012</xdr:rowOff>
    </xdr:from>
    <xdr:to>
      <xdr:col>0</xdr:col>
      <xdr:colOff>1988342</xdr:colOff>
      <xdr:row>26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812" y="2457450"/>
              <a:ext cx="196453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95250</xdr:colOff>
      <xdr:row>7</xdr:row>
      <xdr:rowOff>107156</xdr:rowOff>
    </xdr:from>
    <xdr:to>
      <xdr:col>9</xdr:col>
      <xdr:colOff>250031</xdr:colOff>
      <xdr:row>16</xdr:row>
      <xdr:rowOff>47624</xdr:rowOff>
    </xdr:to>
    <xdr:grpSp>
      <xdr:nvGrpSpPr>
        <xdr:cNvPr id="12" name="Agrupar 11"/>
        <xdr:cNvGrpSpPr/>
      </xdr:nvGrpSpPr>
      <xdr:grpSpPr>
        <a:xfrm>
          <a:off x="2381250" y="1393031"/>
          <a:ext cx="4988719" cy="1726406"/>
          <a:chOff x="2381250" y="1381125"/>
          <a:chExt cx="4988719" cy="1726406"/>
        </a:xfrm>
      </xdr:grpSpPr>
      <xdr:sp macro="" textlink="">
        <xdr:nvSpPr>
          <xdr:cNvPr id="7" name="Retângulo Arredondado 6"/>
          <xdr:cNvSpPr/>
        </xdr:nvSpPr>
        <xdr:spPr>
          <a:xfrm>
            <a:off x="2381250" y="1393031"/>
            <a:ext cx="4988719" cy="171450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2">
        <xdr:nvSpPr>
          <xdr:cNvPr id="8" name="Retângulo Arredondado 7"/>
          <xdr:cNvSpPr/>
        </xdr:nvSpPr>
        <xdr:spPr>
          <a:xfrm>
            <a:off x="4036219" y="1928812"/>
            <a:ext cx="3298031" cy="1035844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4D8DF61D-F7E5-41C9-B14C-072C7715B74C}" type="TxLink">
              <a:rPr lang="en-US" sz="4400" b="0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 R$ 600,00 </a:t>
            </a:fld>
            <a:endParaRPr lang="pt-BR" sz="4400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34E653DD-5BBB-B7D9-BDBD-2F59393458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7468" y="1893094"/>
            <a:ext cx="1371600" cy="1152525"/>
          </a:xfrm>
          <a:prstGeom prst="rect">
            <a:avLst/>
          </a:prstGeom>
        </xdr:spPr>
      </xdr:pic>
      <xdr:sp macro="" textlink="">
        <xdr:nvSpPr>
          <xdr:cNvPr id="10" name="Arredondar Retângulo no Mesmo Canto Lateral 9"/>
          <xdr:cNvSpPr/>
        </xdr:nvSpPr>
        <xdr:spPr>
          <a:xfrm>
            <a:off x="2381250" y="1381125"/>
            <a:ext cx="4988719" cy="428625"/>
          </a:xfrm>
          <a:prstGeom prst="round2SameRect">
            <a:avLst/>
          </a:prstGeom>
          <a:solidFill>
            <a:srgbClr val="22C55E"/>
          </a:solidFill>
          <a:ln>
            <a:solidFill>
              <a:srgbClr val="22C55E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4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EA PLAY SEASON PASS</a:t>
            </a:r>
            <a:endParaRPr lang="pt-BR" sz="14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11</xdr:col>
      <xdr:colOff>0</xdr:colOff>
      <xdr:row>7</xdr:row>
      <xdr:rowOff>107156</xdr:rowOff>
    </xdr:from>
    <xdr:to>
      <xdr:col>18</xdr:col>
      <xdr:colOff>345282</xdr:colOff>
      <xdr:row>16</xdr:row>
      <xdr:rowOff>47624</xdr:rowOff>
    </xdr:to>
    <xdr:grpSp>
      <xdr:nvGrpSpPr>
        <xdr:cNvPr id="21" name="Agrupar 20"/>
        <xdr:cNvGrpSpPr/>
      </xdr:nvGrpSpPr>
      <xdr:grpSpPr>
        <a:xfrm>
          <a:off x="8501063" y="1393031"/>
          <a:ext cx="4969669" cy="1726406"/>
          <a:chOff x="8501063" y="1404938"/>
          <a:chExt cx="4988719" cy="1726406"/>
        </a:xfrm>
      </xdr:grpSpPr>
      <xdr:grpSp>
        <xdr:nvGrpSpPr>
          <xdr:cNvPr id="13" name="Agrupar 12"/>
          <xdr:cNvGrpSpPr/>
        </xdr:nvGrpSpPr>
        <xdr:grpSpPr>
          <a:xfrm>
            <a:off x="8501063" y="1404938"/>
            <a:ext cx="4988719" cy="1726406"/>
            <a:chOff x="2381250" y="1381125"/>
            <a:chExt cx="4988719" cy="1726406"/>
          </a:xfrm>
        </xdr:grpSpPr>
        <xdr:sp macro="" textlink="">
          <xdr:nvSpPr>
            <xdr:cNvPr id="14" name="Retângulo Arredondado 13"/>
            <xdr:cNvSpPr/>
          </xdr:nvSpPr>
          <xdr:spPr>
            <a:xfrm>
              <a:off x="2381250" y="1393031"/>
              <a:ext cx="4988719" cy="1714500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32">
          <xdr:nvSpPr>
            <xdr:cNvPr id="15" name="Retângulo Arredondado 14"/>
            <xdr:cNvSpPr/>
          </xdr:nvSpPr>
          <xdr:spPr>
            <a:xfrm>
              <a:off x="4036219" y="1928812"/>
              <a:ext cx="3298031" cy="1035844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16EA814D-EB12-4DC2-95DC-A269589C2303}" type="TxLink">
                <a:rPr lang="en-US" sz="4400" b="0" i="0" u="none" strike="noStrike">
                  <a:solidFill>
                    <a:srgbClr val="22C55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pPr algn="ctr"/>
                <a:t> R$ 940,00 </a:t>
              </a:fld>
              <a:endParaRPr lang="pt-BR" sz="4400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7" name="Arredondar Retângulo no Mesmo Canto Lateral 16"/>
            <xdr:cNvSpPr/>
          </xdr:nvSpPr>
          <xdr:spPr>
            <a:xfrm>
              <a:off x="2381250" y="1381125"/>
              <a:ext cx="4988719" cy="428625"/>
            </a:xfrm>
            <a:prstGeom prst="round2SameRect">
              <a:avLst/>
            </a:prstGeom>
            <a:solidFill>
              <a:srgbClr val="22C55E"/>
            </a:solidFill>
            <a:ln>
              <a:solidFill>
                <a:srgbClr val="22C55E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 b="1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4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SUBSCRIPTIONS MINECRAFT SEASON PASS</a:t>
              </a:r>
              <a:endParaRPr lang="pt-BR" sz="14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A71E6AF1-ADEE-EB3B-0380-7B4EF5640C97}"/>
              </a:ext>
            </a:extLst>
          </xdr:cNvPr>
          <xdr:cNvGrpSpPr/>
        </xdr:nvGrpSpPr>
        <xdr:grpSpPr>
          <a:xfrm>
            <a:off x="8727282" y="2131218"/>
            <a:ext cx="1476374" cy="642939"/>
            <a:chOff x="3495675" y="5400674"/>
            <a:chExt cx="1549476" cy="752476"/>
          </a:xfrm>
        </xdr:grpSpPr>
        <xdr:pic>
          <xdr:nvPicPr>
            <xdr:cNvPr id="19" name="Imagem 18">
              <a:extLst>
                <a:ext uri="{FF2B5EF4-FFF2-40B4-BE49-F238E27FC236}">
                  <a16:creationId xmlns:a16="http://schemas.microsoft.com/office/drawing/2014/main" id="{B0CF571B-D3D1-7AD8-F100-6A3A279BE54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0" name="Gráfico 13">
              <a:extLst>
                <a:ext uri="{FF2B5EF4-FFF2-40B4-BE49-F238E27FC236}">
                  <a16:creationId xmlns:a16="http://schemas.microsoft.com/office/drawing/2014/main" id="{A1F40A76-E1BB-A23E-B668-9F79247AB09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=""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71438</xdr:colOff>
      <xdr:row>18</xdr:row>
      <xdr:rowOff>119061</xdr:rowOff>
    </xdr:from>
    <xdr:to>
      <xdr:col>19</xdr:col>
      <xdr:colOff>4763</xdr:colOff>
      <xdr:row>36</xdr:row>
      <xdr:rowOff>142874</xdr:rowOff>
    </xdr:to>
    <xdr:grpSp>
      <xdr:nvGrpSpPr>
        <xdr:cNvPr id="28" name="Agrupar 27"/>
        <xdr:cNvGrpSpPr/>
      </xdr:nvGrpSpPr>
      <xdr:grpSpPr>
        <a:xfrm>
          <a:off x="2357438" y="3548061"/>
          <a:ext cx="11113294" cy="3238501"/>
          <a:chOff x="2357438" y="3548061"/>
          <a:chExt cx="11113294" cy="3238501"/>
        </a:xfrm>
      </xdr:grpSpPr>
      <xdr:grpSp>
        <xdr:nvGrpSpPr>
          <xdr:cNvPr id="6" name="Agrupar 5"/>
          <xdr:cNvGrpSpPr/>
        </xdr:nvGrpSpPr>
        <xdr:grpSpPr>
          <a:xfrm>
            <a:off x="2357438" y="3667124"/>
            <a:ext cx="11113293" cy="3119438"/>
            <a:chOff x="2619376" y="1214437"/>
            <a:chExt cx="5107780" cy="3119438"/>
          </a:xfrm>
        </xdr:grpSpPr>
        <xdr:sp macro="" textlink="">
          <xdr:nvSpPr>
            <xdr:cNvPr id="5" name="Retângulo Arredondado 4"/>
            <xdr:cNvSpPr/>
          </xdr:nvSpPr>
          <xdr:spPr>
            <a:xfrm>
              <a:off x="2619376" y="1214437"/>
              <a:ext cx="5107780" cy="3119438"/>
            </a:xfrm>
            <a:prstGeom prst="roundRect">
              <a:avLst>
                <a:gd name="adj" fmla="val 1164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/>
            <xdr:cNvGraphicFramePr>
              <a:graphicFrameLocks/>
            </xdr:cNvGraphicFramePr>
          </xdr:nvGraphicFramePr>
          <xdr:xfrm>
            <a:off x="2657616" y="1500185"/>
            <a:ext cx="5043348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1"/>
            </a:graphicData>
          </a:graphic>
        </xdr:graphicFrame>
      </xdr:grpSp>
      <xdr:sp macro="" textlink="">
        <xdr:nvSpPr>
          <xdr:cNvPr id="22" name="Arredondar Retângulo no Mesmo Canto Lateral 21"/>
          <xdr:cNvSpPr/>
        </xdr:nvSpPr>
        <xdr:spPr>
          <a:xfrm>
            <a:off x="2369345" y="3548061"/>
            <a:ext cx="11101387" cy="428625"/>
          </a:xfrm>
          <a:prstGeom prst="round2SameRect">
            <a:avLst/>
          </a:prstGeom>
          <a:solidFill>
            <a:srgbClr val="22C55E"/>
          </a:solidFill>
          <a:ln>
            <a:solidFill>
              <a:srgbClr val="22C55E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4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XBOX GAME PASS</a:t>
            </a:r>
            <a:endParaRPr lang="pt-BR" sz="14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0</xdr:col>
      <xdr:colOff>595313</xdr:colOff>
      <xdr:row>6</xdr:row>
      <xdr:rowOff>59533</xdr:rowOff>
    </xdr:from>
    <xdr:to>
      <xdr:col>0</xdr:col>
      <xdr:colOff>1366838</xdr:colOff>
      <xdr:row>9</xdr:row>
      <xdr:rowOff>50008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595313" y="1214439"/>
          <a:ext cx="771525" cy="657225"/>
        </a:xfrm>
        <a:prstGeom prst="ellipse">
          <a:avLst/>
        </a:prstGeom>
        <a:blipFill>
          <a:blip xmlns:r="http://schemas.openxmlformats.org/officeDocument/2006/relationships" r:embed="rId12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166686</xdr:colOff>
      <xdr:row>9</xdr:row>
      <xdr:rowOff>142876</xdr:rowOff>
    </xdr:from>
    <xdr:to>
      <xdr:col>0</xdr:col>
      <xdr:colOff>1845468</xdr:colOff>
      <xdr:row>11</xdr:row>
      <xdr:rowOff>71438</xdr:rowOff>
    </xdr:to>
    <xdr:sp macro="" textlink="">
      <xdr:nvSpPr>
        <xdr:cNvPr id="24" name="Retângulo Arredondado 23"/>
        <xdr:cNvSpPr/>
      </xdr:nvSpPr>
      <xdr:spPr>
        <a:xfrm>
          <a:off x="166686" y="1964532"/>
          <a:ext cx="1678782" cy="2857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0">
              <a:latin typeface="Segoe UI" panose="020B0502040204020203" pitchFamily="34" charset="0"/>
              <a:cs typeface="Segoe UI" panose="020B0502040204020203" pitchFamily="34" charset="0"/>
            </a:rPr>
            <a:t>&gt; BEM</a:t>
          </a:r>
          <a:r>
            <a:rPr lang="pt-BR" sz="1100" b="0" baseline="0">
              <a:latin typeface="Segoe UI" panose="020B0502040204020203" pitchFamily="34" charset="0"/>
              <a:cs typeface="Segoe UI" panose="020B0502040204020203" pitchFamily="34" charset="0"/>
            </a:rPr>
            <a:t> VINDO,GABRIEL</a:t>
          </a:r>
          <a:endParaRPr lang="pt-BR" sz="1100" b="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</xdr:col>
      <xdr:colOff>107156</xdr:colOff>
      <xdr:row>4</xdr:row>
      <xdr:rowOff>23811</xdr:rowOff>
    </xdr:from>
    <xdr:to>
      <xdr:col>11</xdr:col>
      <xdr:colOff>154781</xdr:colOff>
      <xdr:row>6</xdr:row>
      <xdr:rowOff>95250</xdr:rowOff>
    </xdr:to>
    <xdr:sp macro="" textlink="">
      <xdr:nvSpPr>
        <xdr:cNvPr id="27" name="CaixaDeTexto 26"/>
        <xdr:cNvSpPr txBox="1"/>
      </xdr:nvSpPr>
      <xdr:spPr>
        <a:xfrm>
          <a:off x="2393156" y="976311"/>
          <a:ext cx="6262688" cy="2738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chemeClr val="bg1">
                  <a:lumMod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Calculation period:</a:t>
          </a:r>
          <a:r>
            <a:rPr lang="pt-BR" sz="1100" baseline="0">
              <a:solidFill>
                <a:schemeClr val="bg1">
                  <a:lumMod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 01/01/2026 - 31/12/2026 / Update date: 25/12/2026 23:40:00</a:t>
          </a:r>
          <a:endParaRPr lang="pt-BR" sz="1100">
            <a:solidFill>
              <a:schemeClr val="bg1">
                <a:lumMod val="50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</xdr:col>
      <xdr:colOff>154783</xdr:colOff>
      <xdr:row>40</xdr:row>
      <xdr:rowOff>119061</xdr:rowOff>
    </xdr:from>
    <xdr:to>
      <xdr:col>18</xdr:col>
      <xdr:colOff>261939</xdr:colOff>
      <xdr:row>57</xdr:row>
      <xdr:rowOff>95251</xdr:rowOff>
    </xdr:to>
    <xdr:graphicFrame macro="">
      <xdr:nvGraphicFramePr>
        <xdr:cNvPr id="29" name="Gráfico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297.910801967591" createdVersion="6" refreshedVersion="6" minRefreshableVersion="3" recordCount="295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n v="3231"/>
    <x v="0"/>
    <x v="0"/>
    <d v="2024-01-01T00:00:00"/>
    <x v="0"/>
    <n v="15"/>
    <x v="0"/>
    <x v="0"/>
    <x v="0"/>
    <x v="0"/>
    <n v="20"/>
    <n v="5"/>
    <n v="60"/>
  </r>
  <r>
    <n v="3232"/>
    <x v="1"/>
    <x v="1"/>
    <d v="2024-01-15T00:00:00"/>
    <x v="1"/>
    <n v="5"/>
    <x v="1"/>
    <x v="1"/>
    <x v="1"/>
    <x v="1"/>
    <n v="0"/>
    <n v="0"/>
    <n v="5"/>
  </r>
  <r>
    <n v="3233"/>
    <x v="2"/>
    <x v="2"/>
    <d v="2024-02-10T00:00:00"/>
    <x v="0"/>
    <n v="10"/>
    <x v="2"/>
    <x v="1"/>
    <x v="1"/>
    <x v="0"/>
    <n v="20"/>
    <n v="10"/>
    <n v="20"/>
  </r>
  <r>
    <n v="3234"/>
    <x v="3"/>
    <x v="0"/>
    <d v="2024-02-20T00:00:00"/>
    <x v="1"/>
    <n v="15"/>
    <x v="0"/>
    <x v="0"/>
    <x v="0"/>
    <x v="0"/>
    <n v="20"/>
    <n v="3"/>
    <n v="62"/>
  </r>
  <r>
    <n v="3235"/>
    <x v="4"/>
    <x v="1"/>
    <d v="2024-03-05T00:00:00"/>
    <x v="0"/>
    <n v="5"/>
    <x v="0"/>
    <x v="1"/>
    <x v="1"/>
    <x v="1"/>
    <n v="0"/>
    <n v="1"/>
    <n v="4"/>
  </r>
  <r>
    <n v="3236"/>
    <x v="5"/>
    <x v="2"/>
    <d v="2024-03-02T00:00:00"/>
    <x v="1"/>
    <n v="10"/>
    <x v="0"/>
    <x v="1"/>
    <x v="1"/>
    <x v="0"/>
    <n v="20"/>
    <n v="2"/>
    <n v="28"/>
  </r>
  <r>
    <n v="3237"/>
    <x v="6"/>
    <x v="0"/>
    <d v="2024-03-03T00:00:00"/>
    <x v="0"/>
    <n v="15"/>
    <x v="2"/>
    <x v="0"/>
    <x v="0"/>
    <x v="0"/>
    <n v="20"/>
    <n v="10"/>
    <n v="55"/>
  </r>
  <r>
    <n v="3238"/>
    <x v="7"/>
    <x v="1"/>
    <d v="2024-03-04T00:00:00"/>
    <x v="0"/>
    <n v="5"/>
    <x v="1"/>
    <x v="1"/>
    <x v="1"/>
    <x v="1"/>
    <n v="0"/>
    <n v="0"/>
    <n v="5"/>
  </r>
  <r>
    <n v="3239"/>
    <x v="8"/>
    <x v="0"/>
    <d v="2024-03-05T00:00:00"/>
    <x v="1"/>
    <n v="15"/>
    <x v="0"/>
    <x v="0"/>
    <x v="0"/>
    <x v="0"/>
    <n v="20"/>
    <n v="5"/>
    <n v="60"/>
  </r>
  <r>
    <n v="3240"/>
    <x v="9"/>
    <x v="2"/>
    <d v="2024-03-06T00:00:00"/>
    <x v="0"/>
    <n v="10"/>
    <x v="2"/>
    <x v="1"/>
    <x v="1"/>
    <x v="0"/>
    <n v="20"/>
    <n v="15"/>
    <n v="15"/>
  </r>
  <r>
    <n v="3241"/>
    <x v="10"/>
    <x v="1"/>
    <d v="2024-03-07T00:00:00"/>
    <x v="1"/>
    <n v="5"/>
    <x v="0"/>
    <x v="1"/>
    <x v="1"/>
    <x v="1"/>
    <n v="0"/>
    <n v="1"/>
    <n v="4"/>
  </r>
  <r>
    <n v="3242"/>
    <x v="11"/>
    <x v="0"/>
    <d v="2024-03-08T00:00:00"/>
    <x v="0"/>
    <n v="15"/>
    <x v="1"/>
    <x v="0"/>
    <x v="0"/>
    <x v="0"/>
    <n v="20"/>
    <n v="20"/>
    <n v="45"/>
  </r>
  <r>
    <n v="3243"/>
    <x v="12"/>
    <x v="2"/>
    <d v="2024-03-09T00:00:00"/>
    <x v="1"/>
    <n v="10"/>
    <x v="0"/>
    <x v="1"/>
    <x v="1"/>
    <x v="0"/>
    <n v="20"/>
    <n v="10"/>
    <n v="20"/>
  </r>
  <r>
    <n v="3244"/>
    <x v="13"/>
    <x v="1"/>
    <d v="2024-03-10T00:00:00"/>
    <x v="0"/>
    <n v="5"/>
    <x v="2"/>
    <x v="1"/>
    <x v="1"/>
    <x v="1"/>
    <n v="0"/>
    <n v="0"/>
    <n v="5"/>
  </r>
  <r>
    <n v="3245"/>
    <x v="14"/>
    <x v="0"/>
    <d v="2024-03-11T00:00:00"/>
    <x v="1"/>
    <n v="15"/>
    <x v="0"/>
    <x v="0"/>
    <x v="0"/>
    <x v="0"/>
    <n v="20"/>
    <n v="8"/>
    <n v="57"/>
  </r>
  <r>
    <n v="3246"/>
    <x v="15"/>
    <x v="2"/>
    <d v="2024-03-12T00:00:00"/>
    <x v="0"/>
    <n v="10"/>
    <x v="1"/>
    <x v="1"/>
    <x v="1"/>
    <x v="0"/>
    <n v="20"/>
    <n v="12"/>
    <n v="18"/>
  </r>
  <r>
    <n v="3247"/>
    <x v="16"/>
    <x v="1"/>
    <d v="2024-03-13T00:00:00"/>
    <x v="1"/>
    <n v="5"/>
    <x v="0"/>
    <x v="1"/>
    <x v="1"/>
    <x v="1"/>
    <n v="0"/>
    <n v="2"/>
    <n v="3"/>
  </r>
  <r>
    <n v="3248"/>
    <x v="17"/>
    <x v="0"/>
    <d v="2024-03-14T00:00:00"/>
    <x v="0"/>
    <n v="15"/>
    <x v="2"/>
    <x v="0"/>
    <x v="0"/>
    <x v="0"/>
    <n v="20"/>
    <n v="7"/>
    <n v="58"/>
  </r>
  <r>
    <n v="3249"/>
    <x v="18"/>
    <x v="2"/>
    <d v="2024-03-15T00:00:00"/>
    <x v="1"/>
    <n v="10"/>
    <x v="0"/>
    <x v="1"/>
    <x v="1"/>
    <x v="0"/>
    <n v="20"/>
    <n v="5"/>
    <n v="25"/>
  </r>
  <r>
    <n v="3250"/>
    <x v="19"/>
    <x v="1"/>
    <d v="2024-03-16T00:00:00"/>
    <x v="0"/>
    <n v="5"/>
    <x v="1"/>
    <x v="1"/>
    <x v="1"/>
    <x v="1"/>
    <n v="0"/>
    <n v="0"/>
    <n v="5"/>
  </r>
  <r>
    <n v="3251"/>
    <x v="20"/>
    <x v="0"/>
    <d v="2024-03-17T00:00:00"/>
    <x v="1"/>
    <n v="15"/>
    <x v="0"/>
    <x v="0"/>
    <x v="0"/>
    <x v="0"/>
    <n v="20"/>
    <n v="3"/>
    <n v="62"/>
  </r>
  <r>
    <n v="3252"/>
    <x v="21"/>
    <x v="2"/>
    <d v="2024-03-18T00:00:00"/>
    <x v="0"/>
    <n v="10"/>
    <x v="2"/>
    <x v="1"/>
    <x v="1"/>
    <x v="0"/>
    <n v="20"/>
    <n v="15"/>
    <n v="15"/>
  </r>
  <r>
    <n v="3253"/>
    <x v="22"/>
    <x v="1"/>
    <d v="2024-03-19T00:00:00"/>
    <x v="1"/>
    <n v="5"/>
    <x v="0"/>
    <x v="1"/>
    <x v="1"/>
    <x v="1"/>
    <n v="0"/>
    <n v="1"/>
    <n v="4"/>
  </r>
  <r>
    <n v="3254"/>
    <x v="23"/>
    <x v="0"/>
    <d v="2024-03-20T00:00:00"/>
    <x v="0"/>
    <n v="15"/>
    <x v="1"/>
    <x v="0"/>
    <x v="0"/>
    <x v="0"/>
    <n v="20"/>
    <n v="20"/>
    <n v="45"/>
  </r>
  <r>
    <n v="3255"/>
    <x v="24"/>
    <x v="2"/>
    <d v="2024-03-21T00:00:00"/>
    <x v="1"/>
    <n v="10"/>
    <x v="0"/>
    <x v="1"/>
    <x v="1"/>
    <x v="0"/>
    <n v="20"/>
    <n v="10"/>
    <n v="20"/>
  </r>
  <r>
    <n v="3256"/>
    <x v="25"/>
    <x v="1"/>
    <d v="2024-03-22T00:00:00"/>
    <x v="0"/>
    <n v="5"/>
    <x v="2"/>
    <x v="1"/>
    <x v="1"/>
    <x v="1"/>
    <n v="0"/>
    <n v="0"/>
    <n v="5"/>
  </r>
  <r>
    <n v="3257"/>
    <x v="26"/>
    <x v="0"/>
    <d v="2024-03-23T00:00:00"/>
    <x v="1"/>
    <n v="15"/>
    <x v="0"/>
    <x v="0"/>
    <x v="0"/>
    <x v="0"/>
    <n v="20"/>
    <n v="5"/>
    <n v="60"/>
  </r>
  <r>
    <n v="3258"/>
    <x v="27"/>
    <x v="2"/>
    <d v="2024-03-24T00:00:00"/>
    <x v="0"/>
    <n v="10"/>
    <x v="1"/>
    <x v="1"/>
    <x v="1"/>
    <x v="0"/>
    <n v="20"/>
    <n v="15"/>
    <n v="15"/>
  </r>
  <r>
    <n v="3259"/>
    <x v="28"/>
    <x v="1"/>
    <d v="2024-03-25T00:00:00"/>
    <x v="1"/>
    <n v="5"/>
    <x v="0"/>
    <x v="1"/>
    <x v="1"/>
    <x v="1"/>
    <n v="0"/>
    <n v="1"/>
    <n v="4"/>
  </r>
  <r>
    <n v="3260"/>
    <x v="29"/>
    <x v="0"/>
    <d v="2024-03-26T00:00:00"/>
    <x v="0"/>
    <n v="15"/>
    <x v="2"/>
    <x v="0"/>
    <x v="0"/>
    <x v="0"/>
    <n v="20"/>
    <n v="7"/>
    <n v="58"/>
  </r>
  <r>
    <n v="3261"/>
    <x v="30"/>
    <x v="2"/>
    <d v="2024-03-27T00:00:00"/>
    <x v="1"/>
    <n v="10"/>
    <x v="0"/>
    <x v="1"/>
    <x v="1"/>
    <x v="0"/>
    <n v="20"/>
    <n v="10"/>
    <n v="20"/>
  </r>
  <r>
    <n v="3262"/>
    <x v="31"/>
    <x v="1"/>
    <d v="2024-03-28T00:00:00"/>
    <x v="0"/>
    <n v="5"/>
    <x v="1"/>
    <x v="1"/>
    <x v="1"/>
    <x v="1"/>
    <n v="0"/>
    <n v="0"/>
    <n v="5"/>
  </r>
  <r>
    <n v="3263"/>
    <x v="32"/>
    <x v="0"/>
    <d v="2024-03-29T00:00:00"/>
    <x v="1"/>
    <n v="15"/>
    <x v="0"/>
    <x v="0"/>
    <x v="0"/>
    <x v="0"/>
    <n v="20"/>
    <n v="3"/>
    <n v="62"/>
  </r>
  <r>
    <n v="3264"/>
    <x v="33"/>
    <x v="2"/>
    <d v="2024-03-30T00:00:00"/>
    <x v="0"/>
    <n v="10"/>
    <x v="2"/>
    <x v="1"/>
    <x v="1"/>
    <x v="0"/>
    <n v="20"/>
    <n v="15"/>
    <n v="15"/>
  </r>
  <r>
    <n v="3265"/>
    <x v="34"/>
    <x v="1"/>
    <d v="2024-03-31T00:00:00"/>
    <x v="1"/>
    <n v="5"/>
    <x v="0"/>
    <x v="1"/>
    <x v="1"/>
    <x v="1"/>
    <n v="0"/>
    <n v="1"/>
    <n v="4"/>
  </r>
  <r>
    <n v="3266"/>
    <x v="35"/>
    <x v="1"/>
    <d v="2024-04-01T00:00:00"/>
    <x v="0"/>
    <n v="5"/>
    <x v="0"/>
    <x v="1"/>
    <x v="1"/>
    <x v="1"/>
    <n v="0"/>
    <n v="0"/>
    <n v="5"/>
  </r>
  <r>
    <n v="3267"/>
    <x v="36"/>
    <x v="0"/>
    <d v="2024-04-02T00:00:00"/>
    <x v="1"/>
    <n v="15"/>
    <x v="2"/>
    <x v="0"/>
    <x v="0"/>
    <x v="0"/>
    <n v="20"/>
    <n v="7"/>
    <n v="58"/>
  </r>
  <r>
    <n v="3268"/>
    <x v="37"/>
    <x v="2"/>
    <d v="2024-04-03T00:00:00"/>
    <x v="0"/>
    <n v="10"/>
    <x v="1"/>
    <x v="1"/>
    <x v="1"/>
    <x v="0"/>
    <n v="20"/>
    <n v="10"/>
    <n v="20"/>
  </r>
  <r>
    <n v="3269"/>
    <x v="38"/>
    <x v="1"/>
    <d v="2024-04-04T00:00:00"/>
    <x v="1"/>
    <n v="5"/>
    <x v="2"/>
    <x v="1"/>
    <x v="1"/>
    <x v="1"/>
    <n v="0"/>
    <n v="1"/>
    <n v="4"/>
  </r>
  <r>
    <n v="3270"/>
    <x v="39"/>
    <x v="0"/>
    <d v="2024-04-05T00:00:00"/>
    <x v="0"/>
    <n v="15"/>
    <x v="0"/>
    <x v="0"/>
    <x v="0"/>
    <x v="0"/>
    <n v="20"/>
    <n v="15"/>
    <n v="50"/>
  </r>
  <r>
    <n v="3271"/>
    <x v="40"/>
    <x v="2"/>
    <d v="2024-04-06T00:00:00"/>
    <x v="1"/>
    <n v="10"/>
    <x v="0"/>
    <x v="1"/>
    <x v="1"/>
    <x v="0"/>
    <n v="20"/>
    <n v="5"/>
    <n v="25"/>
  </r>
  <r>
    <n v="3272"/>
    <x v="41"/>
    <x v="1"/>
    <d v="2024-04-07T00:00:00"/>
    <x v="0"/>
    <n v="5"/>
    <x v="1"/>
    <x v="1"/>
    <x v="1"/>
    <x v="1"/>
    <n v="0"/>
    <n v="0"/>
    <n v="5"/>
  </r>
  <r>
    <n v="3273"/>
    <x v="42"/>
    <x v="0"/>
    <d v="2024-04-08T00:00:00"/>
    <x v="1"/>
    <n v="15"/>
    <x v="2"/>
    <x v="0"/>
    <x v="0"/>
    <x v="0"/>
    <n v="20"/>
    <n v="20"/>
    <n v="45"/>
  </r>
  <r>
    <n v="3274"/>
    <x v="43"/>
    <x v="2"/>
    <d v="2024-04-09T00:00:00"/>
    <x v="0"/>
    <n v="10"/>
    <x v="2"/>
    <x v="1"/>
    <x v="1"/>
    <x v="0"/>
    <n v="20"/>
    <n v="12"/>
    <n v="18"/>
  </r>
  <r>
    <n v="3275"/>
    <x v="44"/>
    <x v="1"/>
    <d v="2024-04-10T00:00:00"/>
    <x v="1"/>
    <n v="5"/>
    <x v="0"/>
    <x v="1"/>
    <x v="1"/>
    <x v="1"/>
    <n v="0"/>
    <n v="2"/>
    <n v="3"/>
  </r>
  <r>
    <n v="3276"/>
    <x v="45"/>
    <x v="0"/>
    <d v="2024-04-11T00:00:00"/>
    <x v="0"/>
    <n v="15"/>
    <x v="1"/>
    <x v="0"/>
    <x v="0"/>
    <x v="0"/>
    <n v="20"/>
    <n v="5"/>
    <n v="60"/>
  </r>
  <r>
    <n v="3277"/>
    <x v="46"/>
    <x v="2"/>
    <d v="2024-04-12T00:00:00"/>
    <x v="1"/>
    <n v="10"/>
    <x v="0"/>
    <x v="1"/>
    <x v="1"/>
    <x v="0"/>
    <n v="20"/>
    <n v="10"/>
    <n v="20"/>
  </r>
  <r>
    <n v="3278"/>
    <x v="47"/>
    <x v="1"/>
    <d v="2024-04-13T00:00:00"/>
    <x v="0"/>
    <n v="5"/>
    <x v="2"/>
    <x v="1"/>
    <x v="1"/>
    <x v="1"/>
    <n v="0"/>
    <n v="0"/>
    <n v="5"/>
  </r>
  <r>
    <n v="3279"/>
    <x v="48"/>
    <x v="0"/>
    <d v="2024-04-14T00:00:00"/>
    <x v="1"/>
    <n v="15"/>
    <x v="0"/>
    <x v="0"/>
    <x v="0"/>
    <x v="0"/>
    <n v="20"/>
    <n v="3"/>
    <n v="62"/>
  </r>
  <r>
    <n v="3280"/>
    <x v="49"/>
    <x v="2"/>
    <d v="2024-04-15T00:00:00"/>
    <x v="0"/>
    <n v="10"/>
    <x v="1"/>
    <x v="1"/>
    <x v="1"/>
    <x v="0"/>
    <n v="20"/>
    <n v="15"/>
    <n v="15"/>
  </r>
  <r>
    <n v="3281"/>
    <x v="50"/>
    <x v="1"/>
    <d v="2024-04-16T00:00:00"/>
    <x v="1"/>
    <n v="5"/>
    <x v="0"/>
    <x v="1"/>
    <x v="1"/>
    <x v="1"/>
    <n v="0"/>
    <n v="1"/>
    <n v="4"/>
  </r>
  <r>
    <n v="3282"/>
    <x v="51"/>
    <x v="0"/>
    <d v="2024-04-17T00:00:00"/>
    <x v="0"/>
    <n v="15"/>
    <x v="2"/>
    <x v="0"/>
    <x v="0"/>
    <x v="0"/>
    <n v="20"/>
    <n v="7"/>
    <n v="58"/>
  </r>
  <r>
    <n v="3283"/>
    <x v="52"/>
    <x v="2"/>
    <d v="2024-04-18T00:00:00"/>
    <x v="1"/>
    <n v="10"/>
    <x v="0"/>
    <x v="1"/>
    <x v="1"/>
    <x v="0"/>
    <n v="20"/>
    <n v="10"/>
    <n v="20"/>
  </r>
  <r>
    <n v="3284"/>
    <x v="53"/>
    <x v="1"/>
    <d v="2024-04-19T00:00:00"/>
    <x v="0"/>
    <n v="5"/>
    <x v="1"/>
    <x v="1"/>
    <x v="1"/>
    <x v="1"/>
    <n v="0"/>
    <n v="0"/>
    <n v="5"/>
  </r>
  <r>
    <n v="3285"/>
    <x v="54"/>
    <x v="0"/>
    <d v="2024-04-20T00:00:00"/>
    <x v="1"/>
    <n v="15"/>
    <x v="0"/>
    <x v="0"/>
    <x v="0"/>
    <x v="0"/>
    <n v="20"/>
    <n v="20"/>
    <n v="45"/>
  </r>
  <r>
    <n v="3286"/>
    <x v="55"/>
    <x v="2"/>
    <d v="2024-04-21T00:00:00"/>
    <x v="0"/>
    <n v="10"/>
    <x v="2"/>
    <x v="1"/>
    <x v="1"/>
    <x v="0"/>
    <n v="20"/>
    <n v="15"/>
    <n v="15"/>
  </r>
  <r>
    <n v="3287"/>
    <x v="56"/>
    <x v="1"/>
    <d v="2024-04-22T00:00:00"/>
    <x v="1"/>
    <n v="5"/>
    <x v="0"/>
    <x v="1"/>
    <x v="1"/>
    <x v="1"/>
    <n v="0"/>
    <n v="1"/>
    <n v="4"/>
  </r>
  <r>
    <n v="3288"/>
    <x v="57"/>
    <x v="0"/>
    <d v="2024-04-23T00:00:00"/>
    <x v="0"/>
    <n v="15"/>
    <x v="1"/>
    <x v="0"/>
    <x v="0"/>
    <x v="0"/>
    <n v="20"/>
    <n v="3"/>
    <n v="62"/>
  </r>
  <r>
    <n v="3289"/>
    <x v="58"/>
    <x v="2"/>
    <d v="2024-04-24T00:00:00"/>
    <x v="1"/>
    <n v="10"/>
    <x v="0"/>
    <x v="1"/>
    <x v="1"/>
    <x v="0"/>
    <n v="20"/>
    <n v="10"/>
    <n v="20"/>
  </r>
  <r>
    <n v="3290"/>
    <x v="59"/>
    <x v="1"/>
    <d v="2024-04-25T00:00:00"/>
    <x v="0"/>
    <n v="5"/>
    <x v="2"/>
    <x v="1"/>
    <x v="1"/>
    <x v="1"/>
    <n v="0"/>
    <n v="0"/>
    <n v="5"/>
  </r>
  <r>
    <n v="3291"/>
    <x v="60"/>
    <x v="0"/>
    <d v="2024-04-26T00:00:00"/>
    <x v="1"/>
    <n v="15"/>
    <x v="0"/>
    <x v="0"/>
    <x v="0"/>
    <x v="0"/>
    <n v="20"/>
    <n v="5"/>
    <n v="60"/>
  </r>
  <r>
    <n v="3292"/>
    <x v="61"/>
    <x v="2"/>
    <d v="2024-04-27T00:00:00"/>
    <x v="0"/>
    <n v="10"/>
    <x v="1"/>
    <x v="1"/>
    <x v="1"/>
    <x v="0"/>
    <n v="20"/>
    <n v="15"/>
    <n v="15"/>
  </r>
  <r>
    <n v="3293"/>
    <x v="62"/>
    <x v="1"/>
    <d v="2024-04-28T00:00:00"/>
    <x v="1"/>
    <n v="5"/>
    <x v="0"/>
    <x v="1"/>
    <x v="1"/>
    <x v="1"/>
    <n v="0"/>
    <n v="1"/>
    <n v="4"/>
  </r>
  <r>
    <n v="3294"/>
    <x v="63"/>
    <x v="0"/>
    <d v="2024-04-29T00:00:00"/>
    <x v="0"/>
    <n v="15"/>
    <x v="2"/>
    <x v="0"/>
    <x v="0"/>
    <x v="0"/>
    <n v="20"/>
    <n v="20"/>
    <n v="45"/>
  </r>
  <r>
    <n v="3295"/>
    <x v="64"/>
    <x v="2"/>
    <d v="2024-04-30T00:00:00"/>
    <x v="1"/>
    <n v="10"/>
    <x v="0"/>
    <x v="1"/>
    <x v="1"/>
    <x v="0"/>
    <n v="20"/>
    <n v="5"/>
    <n v="25"/>
  </r>
  <r>
    <n v="3296"/>
    <x v="65"/>
    <x v="1"/>
    <d v="2024-05-01T00:00:00"/>
    <x v="1"/>
    <n v="5"/>
    <x v="0"/>
    <x v="1"/>
    <x v="1"/>
    <x v="1"/>
    <n v="0"/>
    <n v="0"/>
    <n v="5"/>
  </r>
  <r>
    <n v="3297"/>
    <x v="66"/>
    <x v="0"/>
    <d v="2024-05-02T00:00:00"/>
    <x v="0"/>
    <n v="15"/>
    <x v="2"/>
    <x v="0"/>
    <x v="0"/>
    <x v="0"/>
    <n v="20"/>
    <n v="7"/>
    <n v="58"/>
  </r>
  <r>
    <n v="3298"/>
    <x v="67"/>
    <x v="2"/>
    <d v="2024-05-03T00:00:00"/>
    <x v="1"/>
    <n v="10"/>
    <x v="1"/>
    <x v="1"/>
    <x v="1"/>
    <x v="0"/>
    <n v="20"/>
    <n v="10"/>
    <n v="20"/>
  </r>
  <r>
    <n v="3299"/>
    <x v="68"/>
    <x v="1"/>
    <d v="2024-05-04T00:00:00"/>
    <x v="0"/>
    <n v="5"/>
    <x v="2"/>
    <x v="1"/>
    <x v="1"/>
    <x v="1"/>
    <n v="0"/>
    <n v="1"/>
    <n v="4"/>
  </r>
  <r>
    <n v="3300"/>
    <x v="69"/>
    <x v="0"/>
    <d v="2024-05-05T00:00:00"/>
    <x v="1"/>
    <n v="15"/>
    <x v="0"/>
    <x v="0"/>
    <x v="0"/>
    <x v="0"/>
    <n v="20"/>
    <n v="15"/>
    <n v="50"/>
  </r>
  <r>
    <n v="3301"/>
    <x v="70"/>
    <x v="2"/>
    <d v="2024-05-06T00:00:00"/>
    <x v="0"/>
    <n v="10"/>
    <x v="0"/>
    <x v="1"/>
    <x v="1"/>
    <x v="0"/>
    <n v="20"/>
    <n v="5"/>
    <n v="25"/>
  </r>
  <r>
    <n v="3302"/>
    <x v="71"/>
    <x v="1"/>
    <d v="2024-05-07T00:00:00"/>
    <x v="1"/>
    <n v="5"/>
    <x v="1"/>
    <x v="1"/>
    <x v="1"/>
    <x v="1"/>
    <n v="0"/>
    <n v="0"/>
    <n v="5"/>
  </r>
  <r>
    <n v="3303"/>
    <x v="72"/>
    <x v="0"/>
    <d v="2024-05-08T00:00:00"/>
    <x v="0"/>
    <n v="15"/>
    <x v="2"/>
    <x v="0"/>
    <x v="0"/>
    <x v="0"/>
    <n v="20"/>
    <n v="20"/>
    <n v="45"/>
  </r>
  <r>
    <n v="3304"/>
    <x v="73"/>
    <x v="2"/>
    <d v="2024-05-09T00:00:00"/>
    <x v="1"/>
    <n v="10"/>
    <x v="2"/>
    <x v="1"/>
    <x v="1"/>
    <x v="0"/>
    <n v="20"/>
    <n v="12"/>
    <n v="18"/>
  </r>
  <r>
    <n v="3305"/>
    <x v="74"/>
    <x v="1"/>
    <d v="2024-05-10T00:00:00"/>
    <x v="0"/>
    <n v="5"/>
    <x v="0"/>
    <x v="1"/>
    <x v="1"/>
    <x v="1"/>
    <n v="0"/>
    <n v="2"/>
    <n v="3"/>
  </r>
  <r>
    <n v="3306"/>
    <x v="75"/>
    <x v="0"/>
    <d v="2024-05-11T00:00:00"/>
    <x v="1"/>
    <n v="15"/>
    <x v="1"/>
    <x v="0"/>
    <x v="0"/>
    <x v="0"/>
    <n v="20"/>
    <n v="5"/>
    <n v="60"/>
  </r>
  <r>
    <n v="3307"/>
    <x v="76"/>
    <x v="2"/>
    <d v="2024-05-12T00:00:00"/>
    <x v="0"/>
    <n v="10"/>
    <x v="0"/>
    <x v="1"/>
    <x v="1"/>
    <x v="0"/>
    <n v="20"/>
    <n v="10"/>
    <n v="20"/>
  </r>
  <r>
    <n v="3308"/>
    <x v="77"/>
    <x v="1"/>
    <d v="2024-05-13T00:00:00"/>
    <x v="1"/>
    <n v="5"/>
    <x v="2"/>
    <x v="1"/>
    <x v="1"/>
    <x v="1"/>
    <n v="0"/>
    <n v="0"/>
    <n v="5"/>
  </r>
  <r>
    <n v="3309"/>
    <x v="78"/>
    <x v="0"/>
    <d v="2024-05-14T00:00:00"/>
    <x v="0"/>
    <n v="15"/>
    <x v="0"/>
    <x v="0"/>
    <x v="0"/>
    <x v="0"/>
    <n v="20"/>
    <n v="3"/>
    <n v="62"/>
  </r>
  <r>
    <n v="3310"/>
    <x v="79"/>
    <x v="2"/>
    <d v="2024-05-15T00:00:00"/>
    <x v="1"/>
    <n v="10"/>
    <x v="1"/>
    <x v="1"/>
    <x v="1"/>
    <x v="0"/>
    <n v="20"/>
    <n v="15"/>
    <n v="15"/>
  </r>
  <r>
    <n v="3311"/>
    <x v="80"/>
    <x v="1"/>
    <d v="2024-05-16T00:00:00"/>
    <x v="0"/>
    <n v="5"/>
    <x v="0"/>
    <x v="1"/>
    <x v="1"/>
    <x v="1"/>
    <n v="0"/>
    <n v="1"/>
    <n v="4"/>
  </r>
  <r>
    <n v="3312"/>
    <x v="81"/>
    <x v="0"/>
    <d v="2024-05-17T00:00:00"/>
    <x v="1"/>
    <n v="15"/>
    <x v="2"/>
    <x v="0"/>
    <x v="0"/>
    <x v="0"/>
    <n v="20"/>
    <n v="7"/>
    <n v="58"/>
  </r>
  <r>
    <n v="3313"/>
    <x v="82"/>
    <x v="2"/>
    <d v="2024-05-18T00:00:00"/>
    <x v="0"/>
    <n v="10"/>
    <x v="0"/>
    <x v="1"/>
    <x v="1"/>
    <x v="0"/>
    <n v="20"/>
    <n v="10"/>
    <n v="20"/>
  </r>
  <r>
    <n v="3314"/>
    <x v="83"/>
    <x v="1"/>
    <d v="2024-05-19T00:00:00"/>
    <x v="1"/>
    <n v="5"/>
    <x v="1"/>
    <x v="1"/>
    <x v="1"/>
    <x v="1"/>
    <n v="0"/>
    <n v="0"/>
    <n v="5"/>
  </r>
  <r>
    <n v="3315"/>
    <x v="84"/>
    <x v="0"/>
    <d v="2024-05-20T00:00:00"/>
    <x v="0"/>
    <n v="15"/>
    <x v="0"/>
    <x v="0"/>
    <x v="0"/>
    <x v="0"/>
    <n v="20"/>
    <n v="20"/>
    <n v="45"/>
  </r>
  <r>
    <n v="3316"/>
    <x v="85"/>
    <x v="2"/>
    <d v="2024-05-21T00:00:00"/>
    <x v="1"/>
    <n v="10"/>
    <x v="2"/>
    <x v="1"/>
    <x v="1"/>
    <x v="0"/>
    <n v="20"/>
    <n v="15"/>
    <n v="15"/>
  </r>
  <r>
    <n v="3317"/>
    <x v="86"/>
    <x v="1"/>
    <d v="2024-05-22T00:00:00"/>
    <x v="0"/>
    <n v="5"/>
    <x v="0"/>
    <x v="1"/>
    <x v="1"/>
    <x v="1"/>
    <n v="0"/>
    <n v="1"/>
    <n v="4"/>
  </r>
  <r>
    <n v="3318"/>
    <x v="87"/>
    <x v="0"/>
    <d v="2024-05-23T00:00:00"/>
    <x v="1"/>
    <n v="15"/>
    <x v="1"/>
    <x v="0"/>
    <x v="0"/>
    <x v="0"/>
    <n v="20"/>
    <n v="3"/>
    <n v="62"/>
  </r>
  <r>
    <n v="3319"/>
    <x v="88"/>
    <x v="2"/>
    <d v="2024-05-24T00:00:00"/>
    <x v="0"/>
    <n v="10"/>
    <x v="0"/>
    <x v="1"/>
    <x v="1"/>
    <x v="0"/>
    <n v="20"/>
    <n v="10"/>
    <n v="20"/>
  </r>
  <r>
    <n v="3320"/>
    <x v="89"/>
    <x v="1"/>
    <d v="2024-05-25T00:00:00"/>
    <x v="1"/>
    <n v="5"/>
    <x v="2"/>
    <x v="1"/>
    <x v="1"/>
    <x v="1"/>
    <n v="0"/>
    <n v="0"/>
    <n v="5"/>
  </r>
  <r>
    <n v="3321"/>
    <x v="90"/>
    <x v="0"/>
    <d v="2024-05-26T00:00:00"/>
    <x v="0"/>
    <n v="15"/>
    <x v="0"/>
    <x v="0"/>
    <x v="0"/>
    <x v="0"/>
    <n v="20"/>
    <n v="5"/>
    <n v="60"/>
  </r>
  <r>
    <n v="3322"/>
    <x v="91"/>
    <x v="2"/>
    <d v="2024-05-27T00:00:00"/>
    <x v="1"/>
    <n v="10"/>
    <x v="1"/>
    <x v="1"/>
    <x v="1"/>
    <x v="0"/>
    <n v="20"/>
    <n v="15"/>
    <n v="15"/>
  </r>
  <r>
    <n v="3323"/>
    <x v="92"/>
    <x v="1"/>
    <d v="2024-05-28T00:00:00"/>
    <x v="0"/>
    <n v="5"/>
    <x v="0"/>
    <x v="1"/>
    <x v="1"/>
    <x v="1"/>
    <n v="0"/>
    <n v="1"/>
    <n v="4"/>
  </r>
  <r>
    <n v="3324"/>
    <x v="93"/>
    <x v="0"/>
    <d v="2024-05-29T00:00:00"/>
    <x v="1"/>
    <n v="15"/>
    <x v="2"/>
    <x v="0"/>
    <x v="0"/>
    <x v="0"/>
    <n v="20"/>
    <n v="20"/>
    <n v="45"/>
  </r>
  <r>
    <n v="3325"/>
    <x v="94"/>
    <x v="2"/>
    <d v="2024-05-30T00:00:00"/>
    <x v="0"/>
    <n v="10"/>
    <x v="2"/>
    <x v="1"/>
    <x v="1"/>
    <x v="0"/>
    <n v="20"/>
    <n v="15"/>
    <n v="15"/>
  </r>
  <r>
    <n v="3326"/>
    <x v="95"/>
    <x v="1"/>
    <d v="2024-05-31T00:00:00"/>
    <x v="1"/>
    <n v="5"/>
    <x v="1"/>
    <x v="1"/>
    <x v="1"/>
    <x v="1"/>
    <n v="0"/>
    <n v="0"/>
    <n v="5"/>
  </r>
  <r>
    <n v="3327"/>
    <x v="96"/>
    <x v="0"/>
    <d v="2024-06-01T00:00:00"/>
    <x v="0"/>
    <n v="15"/>
    <x v="0"/>
    <x v="0"/>
    <x v="0"/>
    <x v="0"/>
    <n v="20"/>
    <n v="7"/>
    <n v="58"/>
  </r>
  <r>
    <n v="3328"/>
    <x v="97"/>
    <x v="2"/>
    <d v="2024-06-02T00:00:00"/>
    <x v="1"/>
    <n v="10"/>
    <x v="1"/>
    <x v="1"/>
    <x v="1"/>
    <x v="0"/>
    <n v="20"/>
    <n v="10"/>
    <n v="20"/>
  </r>
  <r>
    <n v="3329"/>
    <x v="98"/>
    <x v="1"/>
    <d v="2024-06-03T00:00:00"/>
    <x v="0"/>
    <n v="5"/>
    <x v="2"/>
    <x v="1"/>
    <x v="1"/>
    <x v="1"/>
    <n v="0"/>
    <n v="1"/>
    <n v="4"/>
  </r>
  <r>
    <n v="3330"/>
    <x v="99"/>
    <x v="0"/>
    <d v="2024-06-04T00:00:00"/>
    <x v="1"/>
    <n v="15"/>
    <x v="0"/>
    <x v="0"/>
    <x v="0"/>
    <x v="0"/>
    <n v="20"/>
    <n v="15"/>
    <n v="50"/>
  </r>
  <r>
    <n v="3331"/>
    <x v="100"/>
    <x v="2"/>
    <d v="2024-06-05T00:00:00"/>
    <x v="0"/>
    <n v="10"/>
    <x v="0"/>
    <x v="1"/>
    <x v="1"/>
    <x v="0"/>
    <n v="20"/>
    <n v="5"/>
    <n v="25"/>
  </r>
  <r>
    <n v="3332"/>
    <x v="101"/>
    <x v="1"/>
    <d v="2024-06-06T00:00:00"/>
    <x v="1"/>
    <n v="5"/>
    <x v="1"/>
    <x v="1"/>
    <x v="1"/>
    <x v="1"/>
    <n v="0"/>
    <n v="0"/>
    <n v="5"/>
  </r>
  <r>
    <n v="3333"/>
    <x v="102"/>
    <x v="0"/>
    <d v="2024-06-07T00:00:00"/>
    <x v="0"/>
    <n v="15"/>
    <x v="2"/>
    <x v="0"/>
    <x v="0"/>
    <x v="0"/>
    <n v="20"/>
    <n v="20"/>
    <n v="45"/>
  </r>
  <r>
    <n v="3334"/>
    <x v="103"/>
    <x v="2"/>
    <d v="2024-06-08T00:00:00"/>
    <x v="1"/>
    <n v="10"/>
    <x v="2"/>
    <x v="1"/>
    <x v="1"/>
    <x v="0"/>
    <n v="20"/>
    <n v="12"/>
    <n v="18"/>
  </r>
  <r>
    <n v="3335"/>
    <x v="104"/>
    <x v="1"/>
    <d v="2024-06-09T00:00:00"/>
    <x v="0"/>
    <n v="5"/>
    <x v="0"/>
    <x v="1"/>
    <x v="1"/>
    <x v="1"/>
    <n v="0"/>
    <n v="2"/>
    <n v="3"/>
  </r>
  <r>
    <n v="3336"/>
    <x v="105"/>
    <x v="1"/>
    <d v="2024-06-10T00:00:00"/>
    <x v="0"/>
    <n v="5"/>
    <x v="0"/>
    <x v="1"/>
    <x v="1"/>
    <x v="1"/>
    <n v="0"/>
    <n v="0"/>
    <n v="5"/>
  </r>
  <r>
    <n v="3337"/>
    <x v="106"/>
    <x v="0"/>
    <d v="2024-06-11T00:00:00"/>
    <x v="1"/>
    <n v="15"/>
    <x v="2"/>
    <x v="0"/>
    <x v="0"/>
    <x v="0"/>
    <n v="20"/>
    <n v="7"/>
    <n v="58"/>
  </r>
  <r>
    <n v="3338"/>
    <x v="107"/>
    <x v="2"/>
    <d v="2024-06-12T00:00:00"/>
    <x v="0"/>
    <n v="10"/>
    <x v="1"/>
    <x v="1"/>
    <x v="1"/>
    <x v="0"/>
    <n v="20"/>
    <n v="10"/>
    <n v="20"/>
  </r>
  <r>
    <n v="3339"/>
    <x v="108"/>
    <x v="1"/>
    <d v="2024-06-13T00:00:00"/>
    <x v="1"/>
    <n v="5"/>
    <x v="2"/>
    <x v="1"/>
    <x v="1"/>
    <x v="1"/>
    <n v="0"/>
    <n v="1"/>
    <n v="4"/>
  </r>
  <r>
    <n v="3340"/>
    <x v="109"/>
    <x v="0"/>
    <d v="2024-06-14T00:00:00"/>
    <x v="0"/>
    <n v="15"/>
    <x v="0"/>
    <x v="0"/>
    <x v="0"/>
    <x v="0"/>
    <n v="20"/>
    <n v="15"/>
    <n v="50"/>
  </r>
  <r>
    <n v="3341"/>
    <x v="110"/>
    <x v="2"/>
    <d v="2024-06-15T00:00:00"/>
    <x v="1"/>
    <n v="10"/>
    <x v="0"/>
    <x v="1"/>
    <x v="1"/>
    <x v="0"/>
    <n v="20"/>
    <n v="5"/>
    <n v="25"/>
  </r>
  <r>
    <n v="3342"/>
    <x v="111"/>
    <x v="1"/>
    <d v="2024-06-16T00:00:00"/>
    <x v="0"/>
    <n v="5"/>
    <x v="1"/>
    <x v="1"/>
    <x v="1"/>
    <x v="1"/>
    <n v="0"/>
    <n v="0"/>
    <n v="5"/>
  </r>
  <r>
    <n v="3343"/>
    <x v="112"/>
    <x v="0"/>
    <d v="2024-06-17T00:00:00"/>
    <x v="1"/>
    <n v="15"/>
    <x v="2"/>
    <x v="0"/>
    <x v="0"/>
    <x v="0"/>
    <n v="20"/>
    <n v="20"/>
    <n v="45"/>
  </r>
  <r>
    <n v="3344"/>
    <x v="113"/>
    <x v="2"/>
    <d v="2024-06-18T00:00:00"/>
    <x v="0"/>
    <n v="10"/>
    <x v="2"/>
    <x v="1"/>
    <x v="1"/>
    <x v="0"/>
    <n v="20"/>
    <n v="12"/>
    <n v="18"/>
  </r>
  <r>
    <n v="3345"/>
    <x v="114"/>
    <x v="1"/>
    <d v="2024-06-19T00:00:00"/>
    <x v="1"/>
    <n v="5"/>
    <x v="0"/>
    <x v="1"/>
    <x v="1"/>
    <x v="1"/>
    <n v="0"/>
    <n v="2"/>
    <n v="3"/>
  </r>
  <r>
    <n v="3346"/>
    <x v="115"/>
    <x v="0"/>
    <d v="2024-06-20T00:00:00"/>
    <x v="0"/>
    <n v="15"/>
    <x v="1"/>
    <x v="0"/>
    <x v="0"/>
    <x v="0"/>
    <n v="20"/>
    <n v="5"/>
    <n v="60"/>
  </r>
  <r>
    <n v="3347"/>
    <x v="116"/>
    <x v="2"/>
    <d v="2024-06-21T00:00:00"/>
    <x v="1"/>
    <n v="10"/>
    <x v="0"/>
    <x v="1"/>
    <x v="1"/>
    <x v="0"/>
    <n v="20"/>
    <n v="10"/>
    <n v="20"/>
  </r>
  <r>
    <n v="3348"/>
    <x v="117"/>
    <x v="1"/>
    <d v="2024-06-22T00:00:00"/>
    <x v="0"/>
    <n v="5"/>
    <x v="2"/>
    <x v="1"/>
    <x v="1"/>
    <x v="1"/>
    <n v="0"/>
    <n v="0"/>
    <n v="5"/>
  </r>
  <r>
    <n v="3349"/>
    <x v="93"/>
    <x v="0"/>
    <d v="2024-06-23T00:00:00"/>
    <x v="1"/>
    <n v="15"/>
    <x v="0"/>
    <x v="0"/>
    <x v="0"/>
    <x v="0"/>
    <n v="20"/>
    <n v="3"/>
    <n v="62"/>
  </r>
  <r>
    <n v="3350"/>
    <x v="118"/>
    <x v="2"/>
    <d v="2024-06-24T00:00:00"/>
    <x v="0"/>
    <n v="10"/>
    <x v="1"/>
    <x v="1"/>
    <x v="1"/>
    <x v="0"/>
    <n v="20"/>
    <n v="15"/>
    <n v="15"/>
  </r>
  <r>
    <n v="3351"/>
    <x v="119"/>
    <x v="1"/>
    <d v="2024-06-25T00:00:00"/>
    <x v="1"/>
    <n v="5"/>
    <x v="0"/>
    <x v="1"/>
    <x v="1"/>
    <x v="1"/>
    <n v="0"/>
    <n v="1"/>
    <n v="4"/>
  </r>
  <r>
    <n v="3352"/>
    <x v="120"/>
    <x v="0"/>
    <d v="2024-06-26T00:00:00"/>
    <x v="0"/>
    <n v="15"/>
    <x v="2"/>
    <x v="0"/>
    <x v="0"/>
    <x v="0"/>
    <n v="20"/>
    <n v="7"/>
    <n v="58"/>
  </r>
  <r>
    <n v="3353"/>
    <x v="121"/>
    <x v="2"/>
    <d v="2024-06-27T00:00:00"/>
    <x v="1"/>
    <n v="10"/>
    <x v="0"/>
    <x v="1"/>
    <x v="1"/>
    <x v="0"/>
    <n v="20"/>
    <n v="10"/>
    <n v="20"/>
  </r>
  <r>
    <n v="3354"/>
    <x v="122"/>
    <x v="1"/>
    <d v="2024-06-28T00:00:00"/>
    <x v="0"/>
    <n v="5"/>
    <x v="1"/>
    <x v="1"/>
    <x v="1"/>
    <x v="1"/>
    <n v="0"/>
    <n v="0"/>
    <n v="5"/>
  </r>
  <r>
    <n v="3355"/>
    <x v="123"/>
    <x v="0"/>
    <d v="2024-06-29T00:00:00"/>
    <x v="1"/>
    <n v="15"/>
    <x v="0"/>
    <x v="0"/>
    <x v="0"/>
    <x v="0"/>
    <n v="20"/>
    <n v="20"/>
    <n v="45"/>
  </r>
  <r>
    <n v="3356"/>
    <x v="124"/>
    <x v="2"/>
    <d v="2024-06-30T00:00:00"/>
    <x v="0"/>
    <n v="10"/>
    <x v="2"/>
    <x v="1"/>
    <x v="1"/>
    <x v="0"/>
    <n v="20"/>
    <n v="15"/>
    <n v="15"/>
  </r>
  <r>
    <n v="3357"/>
    <x v="125"/>
    <x v="1"/>
    <d v="2024-07-01T00:00:00"/>
    <x v="1"/>
    <n v="5"/>
    <x v="0"/>
    <x v="1"/>
    <x v="1"/>
    <x v="1"/>
    <n v="0"/>
    <n v="1"/>
    <n v="4"/>
  </r>
  <r>
    <n v="3358"/>
    <x v="126"/>
    <x v="0"/>
    <d v="2024-07-02T00:00:00"/>
    <x v="0"/>
    <n v="15"/>
    <x v="1"/>
    <x v="0"/>
    <x v="0"/>
    <x v="0"/>
    <n v="20"/>
    <n v="3"/>
    <n v="62"/>
  </r>
  <r>
    <n v="3359"/>
    <x v="127"/>
    <x v="2"/>
    <d v="2024-07-03T00:00:00"/>
    <x v="1"/>
    <n v="10"/>
    <x v="0"/>
    <x v="1"/>
    <x v="1"/>
    <x v="0"/>
    <n v="20"/>
    <n v="10"/>
    <n v="20"/>
  </r>
  <r>
    <n v="3360"/>
    <x v="128"/>
    <x v="1"/>
    <d v="2024-07-04T00:00:00"/>
    <x v="0"/>
    <n v="5"/>
    <x v="2"/>
    <x v="1"/>
    <x v="1"/>
    <x v="1"/>
    <n v="0"/>
    <n v="0"/>
    <n v="5"/>
  </r>
  <r>
    <n v="3361"/>
    <x v="129"/>
    <x v="0"/>
    <d v="2024-07-05T00:00:00"/>
    <x v="1"/>
    <n v="15"/>
    <x v="0"/>
    <x v="0"/>
    <x v="0"/>
    <x v="0"/>
    <n v="20"/>
    <n v="15"/>
    <n v="50"/>
  </r>
  <r>
    <n v="3362"/>
    <x v="130"/>
    <x v="2"/>
    <d v="2024-07-06T00:00:00"/>
    <x v="0"/>
    <n v="10"/>
    <x v="1"/>
    <x v="1"/>
    <x v="1"/>
    <x v="0"/>
    <n v="20"/>
    <n v="15"/>
    <n v="15"/>
  </r>
  <r>
    <n v="3363"/>
    <x v="131"/>
    <x v="1"/>
    <d v="2024-07-07T00:00:00"/>
    <x v="1"/>
    <n v="5"/>
    <x v="0"/>
    <x v="1"/>
    <x v="1"/>
    <x v="1"/>
    <n v="0"/>
    <n v="1"/>
    <n v="4"/>
  </r>
  <r>
    <n v="3364"/>
    <x v="132"/>
    <x v="0"/>
    <d v="2024-07-08T00:00:00"/>
    <x v="0"/>
    <n v="15"/>
    <x v="2"/>
    <x v="0"/>
    <x v="0"/>
    <x v="0"/>
    <n v="20"/>
    <n v="7"/>
    <n v="58"/>
  </r>
  <r>
    <n v="3365"/>
    <x v="133"/>
    <x v="2"/>
    <d v="2024-07-09T00:00:00"/>
    <x v="1"/>
    <n v="10"/>
    <x v="0"/>
    <x v="1"/>
    <x v="1"/>
    <x v="0"/>
    <n v="20"/>
    <n v="10"/>
    <n v="20"/>
  </r>
  <r>
    <n v="3366"/>
    <x v="134"/>
    <x v="1"/>
    <d v="2024-07-10T00:00:00"/>
    <x v="0"/>
    <n v="5"/>
    <x v="0"/>
    <x v="1"/>
    <x v="1"/>
    <x v="1"/>
    <n v="0"/>
    <n v="0"/>
    <n v="5"/>
  </r>
  <r>
    <n v="3367"/>
    <x v="135"/>
    <x v="0"/>
    <d v="2024-07-11T00:00:00"/>
    <x v="1"/>
    <n v="15"/>
    <x v="2"/>
    <x v="0"/>
    <x v="0"/>
    <x v="0"/>
    <n v="20"/>
    <n v="7"/>
    <n v="58"/>
  </r>
  <r>
    <n v="3368"/>
    <x v="136"/>
    <x v="2"/>
    <d v="2024-07-12T00:00:00"/>
    <x v="0"/>
    <n v="10"/>
    <x v="1"/>
    <x v="1"/>
    <x v="1"/>
    <x v="0"/>
    <n v="20"/>
    <n v="10"/>
    <n v="20"/>
  </r>
  <r>
    <n v="3369"/>
    <x v="137"/>
    <x v="1"/>
    <d v="2024-07-13T00:00:00"/>
    <x v="1"/>
    <n v="5"/>
    <x v="2"/>
    <x v="1"/>
    <x v="1"/>
    <x v="1"/>
    <n v="0"/>
    <n v="1"/>
    <n v="4"/>
  </r>
  <r>
    <n v="3370"/>
    <x v="138"/>
    <x v="0"/>
    <d v="2024-07-14T00:00:00"/>
    <x v="0"/>
    <n v="15"/>
    <x v="0"/>
    <x v="0"/>
    <x v="0"/>
    <x v="0"/>
    <n v="20"/>
    <n v="15"/>
    <n v="50"/>
  </r>
  <r>
    <n v="3371"/>
    <x v="139"/>
    <x v="2"/>
    <d v="2024-07-15T00:00:00"/>
    <x v="1"/>
    <n v="10"/>
    <x v="0"/>
    <x v="1"/>
    <x v="1"/>
    <x v="0"/>
    <n v="20"/>
    <n v="5"/>
    <n v="25"/>
  </r>
  <r>
    <n v="3372"/>
    <x v="140"/>
    <x v="1"/>
    <d v="2024-07-16T00:00:00"/>
    <x v="0"/>
    <n v="5"/>
    <x v="1"/>
    <x v="1"/>
    <x v="1"/>
    <x v="1"/>
    <n v="0"/>
    <n v="0"/>
    <n v="5"/>
  </r>
  <r>
    <n v="3373"/>
    <x v="141"/>
    <x v="0"/>
    <d v="2024-07-17T00:00:00"/>
    <x v="1"/>
    <n v="15"/>
    <x v="2"/>
    <x v="0"/>
    <x v="0"/>
    <x v="0"/>
    <n v="20"/>
    <n v="20"/>
    <n v="45"/>
  </r>
  <r>
    <n v="3374"/>
    <x v="142"/>
    <x v="2"/>
    <d v="2024-07-18T00:00:00"/>
    <x v="0"/>
    <n v="10"/>
    <x v="2"/>
    <x v="1"/>
    <x v="1"/>
    <x v="0"/>
    <n v="20"/>
    <n v="12"/>
    <n v="18"/>
  </r>
  <r>
    <n v="3375"/>
    <x v="143"/>
    <x v="1"/>
    <d v="2024-07-19T00:00:00"/>
    <x v="1"/>
    <n v="5"/>
    <x v="0"/>
    <x v="1"/>
    <x v="1"/>
    <x v="1"/>
    <n v="0"/>
    <n v="2"/>
    <n v="3"/>
  </r>
  <r>
    <n v="3376"/>
    <x v="144"/>
    <x v="0"/>
    <d v="2024-07-20T00:00:00"/>
    <x v="0"/>
    <n v="15"/>
    <x v="1"/>
    <x v="0"/>
    <x v="0"/>
    <x v="0"/>
    <n v="20"/>
    <n v="5"/>
    <n v="60"/>
  </r>
  <r>
    <n v="3377"/>
    <x v="145"/>
    <x v="2"/>
    <d v="2024-07-21T00:00:00"/>
    <x v="1"/>
    <n v="10"/>
    <x v="0"/>
    <x v="1"/>
    <x v="1"/>
    <x v="0"/>
    <n v="20"/>
    <n v="10"/>
    <n v="20"/>
  </r>
  <r>
    <n v="3378"/>
    <x v="146"/>
    <x v="1"/>
    <d v="2024-07-22T00:00:00"/>
    <x v="0"/>
    <n v="5"/>
    <x v="2"/>
    <x v="1"/>
    <x v="1"/>
    <x v="1"/>
    <n v="0"/>
    <n v="0"/>
    <n v="5"/>
  </r>
  <r>
    <n v="3379"/>
    <x v="147"/>
    <x v="0"/>
    <d v="2024-07-23T00:00:00"/>
    <x v="1"/>
    <n v="15"/>
    <x v="0"/>
    <x v="0"/>
    <x v="0"/>
    <x v="0"/>
    <n v="20"/>
    <n v="3"/>
    <n v="62"/>
  </r>
  <r>
    <n v="3380"/>
    <x v="148"/>
    <x v="2"/>
    <d v="2024-07-24T00:00:00"/>
    <x v="0"/>
    <n v="10"/>
    <x v="1"/>
    <x v="1"/>
    <x v="1"/>
    <x v="0"/>
    <n v="20"/>
    <n v="15"/>
    <n v="15"/>
  </r>
  <r>
    <n v="3381"/>
    <x v="149"/>
    <x v="1"/>
    <d v="2024-07-25T00:00:00"/>
    <x v="1"/>
    <n v="5"/>
    <x v="0"/>
    <x v="1"/>
    <x v="1"/>
    <x v="1"/>
    <n v="0"/>
    <n v="1"/>
    <n v="4"/>
  </r>
  <r>
    <n v="3382"/>
    <x v="150"/>
    <x v="0"/>
    <d v="2024-07-26T00:00:00"/>
    <x v="0"/>
    <n v="15"/>
    <x v="2"/>
    <x v="0"/>
    <x v="0"/>
    <x v="0"/>
    <n v="20"/>
    <n v="7"/>
    <n v="58"/>
  </r>
  <r>
    <n v="3383"/>
    <x v="151"/>
    <x v="2"/>
    <d v="2024-07-27T00:00:00"/>
    <x v="1"/>
    <n v="10"/>
    <x v="0"/>
    <x v="1"/>
    <x v="1"/>
    <x v="0"/>
    <n v="20"/>
    <n v="10"/>
    <n v="20"/>
  </r>
  <r>
    <n v="3384"/>
    <x v="152"/>
    <x v="1"/>
    <d v="2024-07-28T00:00:00"/>
    <x v="0"/>
    <n v="5"/>
    <x v="1"/>
    <x v="1"/>
    <x v="1"/>
    <x v="1"/>
    <n v="0"/>
    <n v="0"/>
    <n v="5"/>
  </r>
  <r>
    <n v="3385"/>
    <x v="153"/>
    <x v="0"/>
    <d v="2024-07-29T00:00:00"/>
    <x v="1"/>
    <n v="15"/>
    <x v="0"/>
    <x v="0"/>
    <x v="0"/>
    <x v="0"/>
    <n v="20"/>
    <n v="20"/>
    <n v="45"/>
  </r>
  <r>
    <n v="3386"/>
    <x v="154"/>
    <x v="2"/>
    <d v="2024-07-30T00:00:00"/>
    <x v="0"/>
    <n v="10"/>
    <x v="2"/>
    <x v="1"/>
    <x v="1"/>
    <x v="0"/>
    <n v="20"/>
    <n v="15"/>
    <n v="15"/>
  </r>
  <r>
    <n v="3387"/>
    <x v="155"/>
    <x v="1"/>
    <d v="2024-07-31T00:00:00"/>
    <x v="1"/>
    <n v="5"/>
    <x v="0"/>
    <x v="1"/>
    <x v="1"/>
    <x v="1"/>
    <n v="0"/>
    <n v="1"/>
    <n v="4"/>
  </r>
  <r>
    <n v="3388"/>
    <x v="156"/>
    <x v="0"/>
    <d v="2024-08-01T00:00:00"/>
    <x v="0"/>
    <n v="15"/>
    <x v="1"/>
    <x v="0"/>
    <x v="0"/>
    <x v="0"/>
    <n v="20"/>
    <n v="3"/>
    <n v="62"/>
  </r>
  <r>
    <n v="3389"/>
    <x v="157"/>
    <x v="2"/>
    <d v="2024-08-02T00:00:00"/>
    <x v="1"/>
    <n v="10"/>
    <x v="0"/>
    <x v="1"/>
    <x v="1"/>
    <x v="0"/>
    <n v="20"/>
    <n v="10"/>
    <n v="20"/>
  </r>
  <r>
    <n v="3390"/>
    <x v="158"/>
    <x v="1"/>
    <d v="2024-08-03T00:00:00"/>
    <x v="0"/>
    <n v="5"/>
    <x v="2"/>
    <x v="1"/>
    <x v="1"/>
    <x v="1"/>
    <n v="0"/>
    <n v="0"/>
    <n v="5"/>
  </r>
  <r>
    <n v="3391"/>
    <x v="58"/>
    <x v="0"/>
    <d v="2024-08-04T00:00:00"/>
    <x v="1"/>
    <n v="15"/>
    <x v="0"/>
    <x v="0"/>
    <x v="0"/>
    <x v="0"/>
    <n v="20"/>
    <n v="15"/>
    <n v="50"/>
  </r>
  <r>
    <n v="3392"/>
    <x v="159"/>
    <x v="2"/>
    <d v="2024-08-05T00:00:00"/>
    <x v="0"/>
    <n v="10"/>
    <x v="1"/>
    <x v="1"/>
    <x v="1"/>
    <x v="0"/>
    <n v="20"/>
    <n v="15"/>
    <n v="15"/>
  </r>
  <r>
    <n v="3393"/>
    <x v="160"/>
    <x v="1"/>
    <d v="2024-08-06T00:00:00"/>
    <x v="1"/>
    <n v="5"/>
    <x v="0"/>
    <x v="1"/>
    <x v="1"/>
    <x v="1"/>
    <n v="0"/>
    <n v="1"/>
    <n v="4"/>
  </r>
  <r>
    <n v="3394"/>
    <x v="161"/>
    <x v="0"/>
    <d v="2024-08-07T00:00:00"/>
    <x v="0"/>
    <n v="15"/>
    <x v="2"/>
    <x v="0"/>
    <x v="0"/>
    <x v="0"/>
    <n v="20"/>
    <n v="7"/>
    <n v="58"/>
  </r>
  <r>
    <n v="3395"/>
    <x v="162"/>
    <x v="2"/>
    <d v="2024-08-08T00:00:00"/>
    <x v="1"/>
    <n v="10"/>
    <x v="0"/>
    <x v="1"/>
    <x v="1"/>
    <x v="0"/>
    <n v="20"/>
    <n v="10"/>
    <n v="20"/>
  </r>
  <r>
    <n v="3396"/>
    <x v="163"/>
    <x v="1"/>
    <d v="2024-08-09T00:00:00"/>
    <x v="0"/>
    <n v="5"/>
    <x v="1"/>
    <x v="1"/>
    <x v="1"/>
    <x v="1"/>
    <n v="0"/>
    <n v="0"/>
    <n v="5"/>
  </r>
  <r>
    <n v="3397"/>
    <x v="90"/>
    <x v="0"/>
    <d v="2024-08-10T00:00:00"/>
    <x v="1"/>
    <n v="15"/>
    <x v="0"/>
    <x v="0"/>
    <x v="0"/>
    <x v="0"/>
    <n v="20"/>
    <n v="20"/>
    <n v="45"/>
  </r>
  <r>
    <n v="3398"/>
    <x v="164"/>
    <x v="2"/>
    <d v="2024-08-11T00:00:00"/>
    <x v="0"/>
    <n v="10"/>
    <x v="2"/>
    <x v="1"/>
    <x v="1"/>
    <x v="0"/>
    <n v="20"/>
    <n v="15"/>
    <n v="15"/>
  </r>
  <r>
    <n v="3399"/>
    <x v="165"/>
    <x v="1"/>
    <d v="2024-08-12T00:00:00"/>
    <x v="1"/>
    <n v="5"/>
    <x v="0"/>
    <x v="1"/>
    <x v="1"/>
    <x v="1"/>
    <n v="0"/>
    <n v="1"/>
    <n v="4"/>
  </r>
  <r>
    <n v="3400"/>
    <x v="166"/>
    <x v="0"/>
    <d v="2024-08-13T00:00:00"/>
    <x v="0"/>
    <n v="15"/>
    <x v="1"/>
    <x v="0"/>
    <x v="0"/>
    <x v="0"/>
    <n v="20"/>
    <n v="5"/>
    <n v="60"/>
  </r>
  <r>
    <n v="3401"/>
    <x v="167"/>
    <x v="2"/>
    <d v="2024-08-14T00:00:00"/>
    <x v="1"/>
    <n v="10"/>
    <x v="0"/>
    <x v="1"/>
    <x v="1"/>
    <x v="0"/>
    <n v="20"/>
    <n v="10"/>
    <n v="20"/>
  </r>
  <r>
    <n v="3402"/>
    <x v="168"/>
    <x v="1"/>
    <d v="2024-08-15T00:00:00"/>
    <x v="0"/>
    <n v="5"/>
    <x v="2"/>
    <x v="1"/>
    <x v="1"/>
    <x v="1"/>
    <n v="0"/>
    <n v="0"/>
    <n v="5"/>
  </r>
  <r>
    <n v="3403"/>
    <x v="169"/>
    <x v="0"/>
    <d v="2024-08-16T00:00:00"/>
    <x v="1"/>
    <n v="15"/>
    <x v="0"/>
    <x v="0"/>
    <x v="0"/>
    <x v="0"/>
    <n v="20"/>
    <n v="3"/>
    <n v="62"/>
  </r>
  <r>
    <n v="3404"/>
    <x v="170"/>
    <x v="2"/>
    <d v="2024-08-17T00:00:00"/>
    <x v="0"/>
    <n v="10"/>
    <x v="1"/>
    <x v="1"/>
    <x v="1"/>
    <x v="0"/>
    <n v="20"/>
    <n v="15"/>
    <n v="15"/>
  </r>
  <r>
    <n v="3405"/>
    <x v="171"/>
    <x v="1"/>
    <d v="2024-08-18T00:00:00"/>
    <x v="1"/>
    <n v="5"/>
    <x v="0"/>
    <x v="1"/>
    <x v="1"/>
    <x v="1"/>
    <n v="0"/>
    <n v="1"/>
    <n v="4"/>
  </r>
  <r>
    <n v="3406"/>
    <x v="172"/>
    <x v="1"/>
    <d v="2024-08-19T00:00:00"/>
    <x v="0"/>
    <n v="5"/>
    <x v="0"/>
    <x v="1"/>
    <x v="1"/>
    <x v="1"/>
    <n v="0"/>
    <n v="0"/>
    <n v="5"/>
  </r>
  <r>
    <n v="3407"/>
    <x v="173"/>
    <x v="0"/>
    <d v="2024-08-20T00:00:00"/>
    <x v="1"/>
    <n v="15"/>
    <x v="2"/>
    <x v="0"/>
    <x v="0"/>
    <x v="0"/>
    <n v="20"/>
    <n v="7"/>
    <n v="58"/>
  </r>
  <r>
    <n v="3408"/>
    <x v="174"/>
    <x v="2"/>
    <d v="2024-08-21T00:00:00"/>
    <x v="0"/>
    <n v="10"/>
    <x v="1"/>
    <x v="1"/>
    <x v="1"/>
    <x v="0"/>
    <n v="20"/>
    <n v="10"/>
    <n v="20"/>
  </r>
  <r>
    <n v="3409"/>
    <x v="175"/>
    <x v="1"/>
    <d v="2024-08-22T00:00:00"/>
    <x v="1"/>
    <n v="5"/>
    <x v="2"/>
    <x v="1"/>
    <x v="1"/>
    <x v="1"/>
    <n v="0"/>
    <n v="1"/>
    <n v="4"/>
  </r>
  <r>
    <n v="3410"/>
    <x v="176"/>
    <x v="0"/>
    <d v="2024-08-23T00:00:00"/>
    <x v="0"/>
    <n v="15"/>
    <x v="0"/>
    <x v="0"/>
    <x v="0"/>
    <x v="0"/>
    <n v="20"/>
    <n v="15"/>
    <n v="50"/>
  </r>
  <r>
    <n v="3411"/>
    <x v="177"/>
    <x v="2"/>
    <d v="2024-08-24T00:00:00"/>
    <x v="1"/>
    <n v="10"/>
    <x v="0"/>
    <x v="1"/>
    <x v="1"/>
    <x v="0"/>
    <n v="20"/>
    <n v="5"/>
    <n v="25"/>
  </r>
  <r>
    <n v="3412"/>
    <x v="178"/>
    <x v="1"/>
    <d v="2024-08-25T00:00:00"/>
    <x v="0"/>
    <n v="5"/>
    <x v="1"/>
    <x v="1"/>
    <x v="1"/>
    <x v="1"/>
    <n v="0"/>
    <n v="0"/>
    <n v="5"/>
  </r>
  <r>
    <n v="3413"/>
    <x v="179"/>
    <x v="0"/>
    <d v="2024-08-26T00:00:00"/>
    <x v="1"/>
    <n v="15"/>
    <x v="2"/>
    <x v="0"/>
    <x v="0"/>
    <x v="0"/>
    <n v="20"/>
    <n v="20"/>
    <n v="45"/>
  </r>
  <r>
    <n v="3414"/>
    <x v="180"/>
    <x v="2"/>
    <d v="2024-08-27T00:00:00"/>
    <x v="0"/>
    <n v="10"/>
    <x v="2"/>
    <x v="1"/>
    <x v="1"/>
    <x v="0"/>
    <n v="20"/>
    <n v="12"/>
    <n v="18"/>
  </r>
  <r>
    <n v="3415"/>
    <x v="181"/>
    <x v="1"/>
    <d v="2024-08-28T00:00:00"/>
    <x v="1"/>
    <n v="5"/>
    <x v="0"/>
    <x v="1"/>
    <x v="1"/>
    <x v="1"/>
    <n v="0"/>
    <n v="2"/>
    <n v="3"/>
  </r>
  <r>
    <n v="3416"/>
    <x v="182"/>
    <x v="0"/>
    <d v="2024-08-29T00:00:00"/>
    <x v="0"/>
    <n v="15"/>
    <x v="1"/>
    <x v="0"/>
    <x v="0"/>
    <x v="0"/>
    <n v="20"/>
    <n v="5"/>
    <n v="60"/>
  </r>
  <r>
    <n v="3417"/>
    <x v="183"/>
    <x v="2"/>
    <d v="2024-08-30T00:00:00"/>
    <x v="1"/>
    <n v="10"/>
    <x v="0"/>
    <x v="1"/>
    <x v="1"/>
    <x v="0"/>
    <n v="20"/>
    <n v="10"/>
    <n v="20"/>
  </r>
  <r>
    <n v="3418"/>
    <x v="184"/>
    <x v="1"/>
    <d v="2024-08-31T00:00:00"/>
    <x v="0"/>
    <n v="5"/>
    <x v="2"/>
    <x v="1"/>
    <x v="1"/>
    <x v="1"/>
    <n v="0"/>
    <n v="0"/>
    <n v="5"/>
  </r>
  <r>
    <n v="3419"/>
    <x v="185"/>
    <x v="0"/>
    <d v="2024-09-01T00:00:00"/>
    <x v="1"/>
    <n v="15"/>
    <x v="0"/>
    <x v="0"/>
    <x v="0"/>
    <x v="0"/>
    <n v="20"/>
    <n v="3"/>
    <n v="62"/>
  </r>
  <r>
    <n v="3420"/>
    <x v="186"/>
    <x v="2"/>
    <d v="2024-09-02T00:00:00"/>
    <x v="0"/>
    <n v="10"/>
    <x v="1"/>
    <x v="1"/>
    <x v="1"/>
    <x v="0"/>
    <n v="20"/>
    <n v="15"/>
    <n v="15"/>
  </r>
  <r>
    <n v="3421"/>
    <x v="15"/>
    <x v="1"/>
    <d v="2024-09-03T00:00:00"/>
    <x v="1"/>
    <n v="5"/>
    <x v="0"/>
    <x v="1"/>
    <x v="1"/>
    <x v="1"/>
    <n v="0"/>
    <n v="1"/>
    <n v="4"/>
  </r>
  <r>
    <n v="3422"/>
    <x v="187"/>
    <x v="0"/>
    <d v="2024-09-04T00:00:00"/>
    <x v="0"/>
    <n v="15"/>
    <x v="2"/>
    <x v="0"/>
    <x v="0"/>
    <x v="0"/>
    <n v="20"/>
    <n v="7"/>
    <n v="58"/>
  </r>
  <r>
    <n v="3423"/>
    <x v="188"/>
    <x v="2"/>
    <d v="2024-09-05T00:00:00"/>
    <x v="1"/>
    <n v="10"/>
    <x v="0"/>
    <x v="1"/>
    <x v="1"/>
    <x v="0"/>
    <n v="20"/>
    <n v="10"/>
    <n v="20"/>
  </r>
  <r>
    <n v="3424"/>
    <x v="14"/>
    <x v="1"/>
    <d v="2024-09-06T00:00:00"/>
    <x v="0"/>
    <n v="5"/>
    <x v="1"/>
    <x v="1"/>
    <x v="1"/>
    <x v="1"/>
    <n v="0"/>
    <n v="0"/>
    <n v="5"/>
  </r>
  <r>
    <n v="3425"/>
    <x v="189"/>
    <x v="0"/>
    <d v="2024-09-07T00:00:00"/>
    <x v="1"/>
    <n v="15"/>
    <x v="0"/>
    <x v="0"/>
    <x v="0"/>
    <x v="0"/>
    <n v="20"/>
    <n v="20"/>
    <n v="45"/>
  </r>
  <r>
    <n v="3426"/>
    <x v="167"/>
    <x v="2"/>
    <d v="2024-09-08T00:00:00"/>
    <x v="0"/>
    <n v="10"/>
    <x v="2"/>
    <x v="1"/>
    <x v="1"/>
    <x v="0"/>
    <n v="20"/>
    <n v="15"/>
    <n v="15"/>
  </r>
  <r>
    <n v="3427"/>
    <x v="190"/>
    <x v="1"/>
    <d v="2024-09-09T00:00:00"/>
    <x v="1"/>
    <n v="5"/>
    <x v="0"/>
    <x v="1"/>
    <x v="1"/>
    <x v="1"/>
    <n v="0"/>
    <n v="1"/>
    <n v="4"/>
  </r>
  <r>
    <n v="3428"/>
    <x v="191"/>
    <x v="0"/>
    <d v="2024-09-10T00:00:00"/>
    <x v="0"/>
    <n v="15"/>
    <x v="1"/>
    <x v="0"/>
    <x v="0"/>
    <x v="0"/>
    <n v="20"/>
    <n v="3"/>
    <n v="62"/>
  </r>
  <r>
    <n v="3429"/>
    <x v="192"/>
    <x v="2"/>
    <d v="2024-09-11T00:00:00"/>
    <x v="1"/>
    <n v="10"/>
    <x v="0"/>
    <x v="1"/>
    <x v="1"/>
    <x v="0"/>
    <n v="20"/>
    <n v="10"/>
    <n v="20"/>
  </r>
  <r>
    <n v="3430"/>
    <x v="193"/>
    <x v="1"/>
    <d v="2024-09-12T00:00:00"/>
    <x v="0"/>
    <n v="5"/>
    <x v="2"/>
    <x v="1"/>
    <x v="1"/>
    <x v="1"/>
    <n v="0"/>
    <n v="0"/>
    <n v="5"/>
  </r>
  <r>
    <n v="3431"/>
    <x v="194"/>
    <x v="0"/>
    <d v="2024-09-13T00:00:00"/>
    <x v="1"/>
    <n v="15"/>
    <x v="0"/>
    <x v="0"/>
    <x v="0"/>
    <x v="0"/>
    <n v="20"/>
    <n v="15"/>
    <n v="50"/>
  </r>
  <r>
    <n v="3432"/>
    <x v="195"/>
    <x v="2"/>
    <d v="2024-09-14T00:00:00"/>
    <x v="0"/>
    <n v="10"/>
    <x v="1"/>
    <x v="1"/>
    <x v="1"/>
    <x v="0"/>
    <n v="20"/>
    <n v="15"/>
    <n v="15"/>
  </r>
  <r>
    <n v="3433"/>
    <x v="196"/>
    <x v="1"/>
    <d v="2024-09-15T00:00:00"/>
    <x v="1"/>
    <n v="5"/>
    <x v="0"/>
    <x v="1"/>
    <x v="1"/>
    <x v="1"/>
    <n v="0"/>
    <n v="1"/>
    <n v="4"/>
  </r>
  <r>
    <n v="3434"/>
    <x v="197"/>
    <x v="0"/>
    <d v="2024-09-16T00:00:00"/>
    <x v="0"/>
    <n v="15"/>
    <x v="2"/>
    <x v="0"/>
    <x v="0"/>
    <x v="0"/>
    <n v="20"/>
    <n v="7"/>
    <n v="58"/>
  </r>
  <r>
    <n v="3435"/>
    <x v="198"/>
    <x v="2"/>
    <d v="2024-09-17T00:00:00"/>
    <x v="1"/>
    <n v="10"/>
    <x v="0"/>
    <x v="1"/>
    <x v="1"/>
    <x v="0"/>
    <n v="20"/>
    <n v="10"/>
    <n v="20"/>
  </r>
  <r>
    <n v="3436"/>
    <x v="199"/>
    <x v="1"/>
    <d v="2024-09-18T00:00:00"/>
    <x v="0"/>
    <n v="5"/>
    <x v="0"/>
    <x v="1"/>
    <x v="1"/>
    <x v="1"/>
    <n v="0"/>
    <n v="0"/>
    <n v="5"/>
  </r>
  <r>
    <n v="3437"/>
    <x v="200"/>
    <x v="0"/>
    <d v="2024-09-19T00:00:00"/>
    <x v="1"/>
    <n v="15"/>
    <x v="2"/>
    <x v="0"/>
    <x v="0"/>
    <x v="0"/>
    <n v="20"/>
    <n v="7"/>
    <n v="58"/>
  </r>
  <r>
    <n v="3438"/>
    <x v="201"/>
    <x v="2"/>
    <d v="2024-09-20T00:00:00"/>
    <x v="0"/>
    <n v="10"/>
    <x v="1"/>
    <x v="1"/>
    <x v="1"/>
    <x v="0"/>
    <n v="20"/>
    <n v="10"/>
    <n v="20"/>
  </r>
  <r>
    <n v="3439"/>
    <x v="202"/>
    <x v="1"/>
    <d v="2024-09-21T00:00:00"/>
    <x v="1"/>
    <n v="5"/>
    <x v="2"/>
    <x v="1"/>
    <x v="1"/>
    <x v="1"/>
    <n v="0"/>
    <n v="1"/>
    <n v="4"/>
  </r>
  <r>
    <n v="3440"/>
    <x v="203"/>
    <x v="0"/>
    <d v="2024-09-22T00:00:00"/>
    <x v="0"/>
    <n v="15"/>
    <x v="0"/>
    <x v="0"/>
    <x v="0"/>
    <x v="0"/>
    <n v="20"/>
    <n v="15"/>
    <n v="50"/>
  </r>
  <r>
    <n v="3441"/>
    <x v="204"/>
    <x v="2"/>
    <d v="2024-09-23T00:00:00"/>
    <x v="1"/>
    <n v="10"/>
    <x v="0"/>
    <x v="1"/>
    <x v="1"/>
    <x v="0"/>
    <n v="20"/>
    <n v="5"/>
    <n v="25"/>
  </r>
  <r>
    <n v="3442"/>
    <x v="205"/>
    <x v="1"/>
    <d v="2024-09-24T00:00:00"/>
    <x v="0"/>
    <n v="5"/>
    <x v="1"/>
    <x v="1"/>
    <x v="1"/>
    <x v="1"/>
    <n v="0"/>
    <n v="0"/>
    <n v="5"/>
  </r>
  <r>
    <n v="3443"/>
    <x v="206"/>
    <x v="0"/>
    <d v="2024-09-25T00:00:00"/>
    <x v="1"/>
    <n v="15"/>
    <x v="2"/>
    <x v="0"/>
    <x v="0"/>
    <x v="0"/>
    <n v="20"/>
    <n v="20"/>
    <n v="45"/>
  </r>
  <r>
    <n v="3444"/>
    <x v="207"/>
    <x v="2"/>
    <d v="2024-09-26T00:00:00"/>
    <x v="0"/>
    <n v="10"/>
    <x v="2"/>
    <x v="1"/>
    <x v="1"/>
    <x v="0"/>
    <n v="20"/>
    <n v="12"/>
    <n v="18"/>
  </r>
  <r>
    <n v="3445"/>
    <x v="37"/>
    <x v="1"/>
    <d v="2024-09-27T00:00:00"/>
    <x v="1"/>
    <n v="5"/>
    <x v="0"/>
    <x v="1"/>
    <x v="1"/>
    <x v="1"/>
    <n v="0"/>
    <n v="2"/>
    <n v="3"/>
  </r>
  <r>
    <n v="3446"/>
    <x v="208"/>
    <x v="0"/>
    <d v="2024-09-28T00:00:00"/>
    <x v="0"/>
    <n v="15"/>
    <x v="1"/>
    <x v="0"/>
    <x v="0"/>
    <x v="0"/>
    <n v="20"/>
    <n v="5"/>
    <n v="60"/>
  </r>
  <r>
    <n v="3447"/>
    <x v="209"/>
    <x v="2"/>
    <d v="2024-09-29T00:00:00"/>
    <x v="1"/>
    <n v="10"/>
    <x v="0"/>
    <x v="1"/>
    <x v="1"/>
    <x v="0"/>
    <n v="20"/>
    <n v="10"/>
    <n v="20"/>
  </r>
  <r>
    <n v="3448"/>
    <x v="210"/>
    <x v="1"/>
    <d v="2024-09-30T00:00:00"/>
    <x v="0"/>
    <n v="5"/>
    <x v="2"/>
    <x v="1"/>
    <x v="1"/>
    <x v="1"/>
    <n v="0"/>
    <n v="0"/>
    <n v="5"/>
  </r>
  <r>
    <n v="3449"/>
    <x v="211"/>
    <x v="0"/>
    <d v="2024-10-01T00:00:00"/>
    <x v="1"/>
    <n v="15"/>
    <x v="0"/>
    <x v="0"/>
    <x v="0"/>
    <x v="0"/>
    <n v="20"/>
    <n v="3"/>
    <n v="62"/>
  </r>
  <r>
    <n v="3450"/>
    <x v="212"/>
    <x v="2"/>
    <d v="2024-10-02T00:00:00"/>
    <x v="0"/>
    <n v="10"/>
    <x v="1"/>
    <x v="1"/>
    <x v="1"/>
    <x v="0"/>
    <n v="20"/>
    <n v="15"/>
    <n v="15"/>
  </r>
  <r>
    <n v="3451"/>
    <x v="213"/>
    <x v="1"/>
    <d v="2024-10-03T00:00:00"/>
    <x v="1"/>
    <n v="5"/>
    <x v="0"/>
    <x v="1"/>
    <x v="1"/>
    <x v="1"/>
    <n v="0"/>
    <n v="1"/>
    <n v="4"/>
  </r>
  <r>
    <n v="3452"/>
    <x v="191"/>
    <x v="0"/>
    <d v="2024-10-04T00:00:00"/>
    <x v="0"/>
    <n v="15"/>
    <x v="2"/>
    <x v="0"/>
    <x v="0"/>
    <x v="0"/>
    <n v="20"/>
    <n v="7"/>
    <n v="58"/>
  </r>
  <r>
    <n v="3453"/>
    <x v="45"/>
    <x v="2"/>
    <d v="2024-10-05T00:00:00"/>
    <x v="1"/>
    <n v="10"/>
    <x v="0"/>
    <x v="1"/>
    <x v="1"/>
    <x v="0"/>
    <n v="20"/>
    <n v="10"/>
    <n v="20"/>
  </r>
  <r>
    <n v="3454"/>
    <x v="214"/>
    <x v="1"/>
    <d v="2024-10-06T00:00:00"/>
    <x v="0"/>
    <n v="5"/>
    <x v="1"/>
    <x v="1"/>
    <x v="1"/>
    <x v="1"/>
    <n v="0"/>
    <n v="0"/>
    <n v="5"/>
  </r>
  <r>
    <n v="3455"/>
    <x v="215"/>
    <x v="0"/>
    <d v="2024-10-07T00:00:00"/>
    <x v="1"/>
    <n v="15"/>
    <x v="0"/>
    <x v="0"/>
    <x v="0"/>
    <x v="0"/>
    <n v="20"/>
    <n v="20"/>
    <n v="45"/>
  </r>
  <r>
    <n v="3456"/>
    <x v="216"/>
    <x v="2"/>
    <d v="2024-10-08T00:00:00"/>
    <x v="0"/>
    <n v="10"/>
    <x v="2"/>
    <x v="1"/>
    <x v="1"/>
    <x v="0"/>
    <n v="20"/>
    <n v="15"/>
    <n v="15"/>
  </r>
  <r>
    <n v="3457"/>
    <x v="217"/>
    <x v="1"/>
    <d v="2024-10-09T00:00:00"/>
    <x v="1"/>
    <n v="5"/>
    <x v="0"/>
    <x v="1"/>
    <x v="1"/>
    <x v="1"/>
    <n v="0"/>
    <n v="1"/>
    <n v="4"/>
  </r>
  <r>
    <n v="3458"/>
    <x v="218"/>
    <x v="0"/>
    <d v="2024-10-10T00:00:00"/>
    <x v="0"/>
    <n v="15"/>
    <x v="1"/>
    <x v="0"/>
    <x v="0"/>
    <x v="0"/>
    <n v="20"/>
    <n v="3"/>
    <n v="62"/>
  </r>
  <r>
    <n v="3459"/>
    <x v="219"/>
    <x v="2"/>
    <d v="2024-10-11T00:00:00"/>
    <x v="1"/>
    <n v="10"/>
    <x v="0"/>
    <x v="1"/>
    <x v="1"/>
    <x v="0"/>
    <n v="20"/>
    <n v="10"/>
    <n v="20"/>
  </r>
  <r>
    <n v="3460"/>
    <x v="127"/>
    <x v="1"/>
    <d v="2024-10-12T00:00:00"/>
    <x v="0"/>
    <n v="5"/>
    <x v="2"/>
    <x v="1"/>
    <x v="1"/>
    <x v="1"/>
    <n v="0"/>
    <n v="0"/>
    <n v="5"/>
  </r>
  <r>
    <n v="3461"/>
    <x v="220"/>
    <x v="0"/>
    <d v="2024-10-13T00:00:00"/>
    <x v="1"/>
    <n v="15"/>
    <x v="0"/>
    <x v="0"/>
    <x v="0"/>
    <x v="0"/>
    <n v="20"/>
    <n v="15"/>
    <n v="50"/>
  </r>
  <r>
    <n v="3462"/>
    <x v="221"/>
    <x v="2"/>
    <d v="2024-10-14T00:00:00"/>
    <x v="0"/>
    <n v="10"/>
    <x v="1"/>
    <x v="1"/>
    <x v="1"/>
    <x v="0"/>
    <n v="20"/>
    <n v="15"/>
    <n v="15"/>
  </r>
  <r>
    <n v="3463"/>
    <x v="222"/>
    <x v="1"/>
    <d v="2024-10-15T00:00:00"/>
    <x v="1"/>
    <n v="5"/>
    <x v="0"/>
    <x v="1"/>
    <x v="1"/>
    <x v="1"/>
    <n v="0"/>
    <n v="1"/>
    <n v="4"/>
  </r>
  <r>
    <n v="3464"/>
    <x v="223"/>
    <x v="0"/>
    <d v="2024-10-16T00:00:00"/>
    <x v="0"/>
    <n v="15"/>
    <x v="2"/>
    <x v="0"/>
    <x v="0"/>
    <x v="0"/>
    <n v="20"/>
    <n v="7"/>
    <n v="58"/>
  </r>
  <r>
    <n v="3465"/>
    <x v="224"/>
    <x v="2"/>
    <d v="2024-10-17T00:00:00"/>
    <x v="1"/>
    <n v="10"/>
    <x v="0"/>
    <x v="1"/>
    <x v="1"/>
    <x v="0"/>
    <n v="20"/>
    <n v="10"/>
    <n v="20"/>
  </r>
  <r>
    <n v="3466"/>
    <x v="225"/>
    <x v="1"/>
    <d v="2024-10-18T00:00:00"/>
    <x v="0"/>
    <n v="5"/>
    <x v="1"/>
    <x v="1"/>
    <x v="1"/>
    <x v="1"/>
    <n v="0"/>
    <n v="0"/>
    <n v="5"/>
  </r>
  <r>
    <n v="3467"/>
    <x v="226"/>
    <x v="0"/>
    <d v="2024-10-19T00:00:00"/>
    <x v="1"/>
    <n v="15"/>
    <x v="0"/>
    <x v="0"/>
    <x v="0"/>
    <x v="0"/>
    <n v="20"/>
    <n v="15"/>
    <n v="50"/>
  </r>
  <r>
    <n v="3468"/>
    <x v="227"/>
    <x v="2"/>
    <d v="2024-10-20T00:00:00"/>
    <x v="0"/>
    <n v="10"/>
    <x v="2"/>
    <x v="1"/>
    <x v="1"/>
    <x v="0"/>
    <n v="20"/>
    <n v="12"/>
    <n v="18"/>
  </r>
  <r>
    <n v="3469"/>
    <x v="228"/>
    <x v="1"/>
    <d v="2024-10-21T00:00:00"/>
    <x v="1"/>
    <n v="5"/>
    <x v="0"/>
    <x v="1"/>
    <x v="1"/>
    <x v="1"/>
    <n v="0"/>
    <n v="2"/>
    <n v="3"/>
  </r>
  <r>
    <n v="3470"/>
    <x v="229"/>
    <x v="0"/>
    <d v="2024-10-22T00:00:00"/>
    <x v="0"/>
    <n v="15"/>
    <x v="1"/>
    <x v="0"/>
    <x v="0"/>
    <x v="0"/>
    <n v="20"/>
    <n v="5"/>
    <n v="60"/>
  </r>
  <r>
    <n v="3471"/>
    <x v="230"/>
    <x v="2"/>
    <d v="2024-10-23T00:00:00"/>
    <x v="1"/>
    <n v="10"/>
    <x v="0"/>
    <x v="1"/>
    <x v="1"/>
    <x v="0"/>
    <n v="20"/>
    <n v="10"/>
    <n v="20"/>
  </r>
  <r>
    <n v="3472"/>
    <x v="231"/>
    <x v="1"/>
    <d v="2024-10-24T00:00:00"/>
    <x v="0"/>
    <n v="5"/>
    <x v="2"/>
    <x v="1"/>
    <x v="1"/>
    <x v="1"/>
    <n v="0"/>
    <n v="0"/>
    <n v="5"/>
  </r>
  <r>
    <n v="3473"/>
    <x v="140"/>
    <x v="0"/>
    <d v="2024-10-25T00:00:00"/>
    <x v="1"/>
    <n v="15"/>
    <x v="0"/>
    <x v="0"/>
    <x v="0"/>
    <x v="0"/>
    <n v="20"/>
    <n v="3"/>
    <n v="62"/>
  </r>
  <r>
    <n v="3474"/>
    <x v="232"/>
    <x v="2"/>
    <d v="2024-10-26T00:00:00"/>
    <x v="0"/>
    <n v="10"/>
    <x v="1"/>
    <x v="1"/>
    <x v="1"/>
    <x v="0"/>
    <n v="20"/>
    <n v="15"/>
    <n v="15"/>
  </r>
  <r>
    <n v="3475"/>
    <x v="233"/>
    <x v="1"/>
    <d v="2024-10-27T00:00:00"/>
    <x v="1"/>
    <n v="5"/>
    <x v="0"/>
    <x v="1"/>
    <x v="1"/>
    <x v="1"/>
    <n v="0"/>
    <n v="1"/>
    <n v="4"/>
  </r>
  <r>
    <n v="3476"/>
    <x v="234"/>
    <x v="0"/>
    <d v="2024-10-28T00:00:00"/>
    <x v="0"/>
    <n v="15"/>
    <x v="2"/>
    <x v="0"/>
    <x v="0"/>
    <x v="0"/>
    <n v="20"/>
    <n v="7"/>
    <n v="58"/>
  </r>
  <r>
    <n v="3477"/>
    <x v="235"/>
    <x v="2"/>
    <d v="2024-10-29T00:00:00"/>
    <x v="1"/>
    <n v="10"/>
    <x v="0"/>
    <x v="1"/>
    <x v="1"/>
    <x v="0"/>
    <n v="20"/>
    <n v="10"/>
    <n v="20"/>
  </r>
  <r>
    <n v="3478"/>
    <x v="236"/>
    <x v="1"/>
    <d v="2024-10-30T00:00:00"/>
    <x v="0"/>
    <n v="5"/>
    <x v="1"/>
    <x v="1"/>
    <x v="1"/>
    <x v="1"/>
    <n v="0"/>
    <n v="0"/>
    <n v="5"/>
  </r>
  <r>
    <n v="3479"/>
    <x v="237"/>
    <x v="0"/>
    <d v="2024-10-31T00:00:00"/>
    <x v="1"/>
    <n v="15"/>
    <x v="0"/>
    <x v="0"/>
    <x v="0"/>
    <x v="0"/>
    <n v="20"/>
    <n v="20"/>
    <n v="45"/>
  </r>
  <r>
    <n v="3480"/>
    <x v="238"/>
    <x v="2"/>
    <d v="2024-11-01T00:00:00"/>
    <x v="0"/>
    <n v="10"/>
    <x v="2"/>
    <x v="1"/>
    <x v="1"/>
    <x v="0"/>
    <n v="20"/>
    <n v="15"/>
    <n v="15"/>
  </r>
  <r>
    <n v="3481"/>
    <x v="239"/>
    <x v="1"/>
    <d v="2024-11-02T00:00:00"/>
    <x v="1"/>
    <n v="5"/>
    <x v="0"/>
    <x v="1"/>
    <x v="1"/>
    <x v="1"/>
    <n v="0"/>
    <n v="1"/>
    <n v="4"/>
  </r>
  <r>
    <n v="3482"/>
    <x v="240"/>
    <x v="0"/>
    <d v="2024-11-03T00:00:00"/>
    <x v="0"/>
    <n v="15"/>
    <x v="1"/>
    <x v="0"/>
    <x v="0"/>
    <x v="0"/>
    <n v="20"/>
    <n v="3"/>
    <n v="62"/>
  </r>
  <r>
    <n v="3483"/>
    <x v="241"/>
    <x v="2"/>
    <d v="2024-11-04T00:00:00"/>
    <x v="1"/>
    <n v="10"/>
    <x v="0"/>
    <x v="1"/>
    <x v="1"/>
    <x v="0"/>
    <n v="20"/>
    <n v="10"/>
    <n v="20"/>
  </r>
  <r>
    <n v="3484"/>
    <x v="242"/>
    <x v="1"/>
    <d v="2024-11-05T00:00:00"/>
    <x v="0"/>
    <n v="5"/>
    <x v="2"/>
    <x v="1"/>
    <x v="1"/>
    <x v="1"/>
    <n v="0"/>
    <n v="0"/>
    <n v="5"/>
  </r>
  <r>
    <n v="3485"/>
    <x v="243"/>
    <x v="0"/>
    <d v="2024-11-06T00:00:00"/>
    <x v="1"/>
    <n v="15"/>
    <x v="0"/>
    <x v="0"/>
    <x v="0"/>
    <x v="0"/>
    <n v="20"/>
    <n v="15"/>
    <n v="50"/>
  </r>
  <r>
    <n v="3486"/>
    <x v="244"/>
    <x v="1"/>
    <d v="2024-11-07T00:00:00"/>
    <x v="0"/>
    <n v="5"/>
    <x v="0"/>
    <x v="1"/>
    <x v="1"/>
    <x v="1"/>
    <n v="0"/>
    <n v="0"/>
    <n v="5"/>
  </r>
  <r>
    <n v="3487"/>
    <x v="245"/>
    <x v="0"/>
    <d v="2024-11-08T00:00:00"/>
    <x v="1"/>
    <n v="15"/>
    <x v="2"/>
    <x v="0"/>
    <x v="0"/>
    <x v="0"/>
    <n v="20"/>
    <n v="7"/>
    <n v="58"/>
  </r>
  <r>
    <n v="3488"/>
    <x v="246"/>
    <x v="2"/>
    <d v="2024-11-09T00:00:00"/>
    <x v="0"/>
    <n v="10"/>
    <x v="1"/>
    <x v="1"/>
    <x v="1"/>
    <x v="0"/>
    <n v="20"/>
    <n v="10"/>
    <n v="20"/>
  </r>
  <r>
    <n v="3489"/>
    <x v="247"/>
    <x v="1"/>
    <d v="2024-11-10T00:00:00"/>
    <x v="1"/>
    <n v="5"/>
    <x v="2"/>
    <x v="1"/>
    <x v="1"/>
    <x v="1"/>
    <n v="0"/>
    <n v="1"/>
    <n v="4"/>
  </r>
  <r>
    <n v="3490"/>
    <x v="248"/>
    <x v="0"/>
    <d v="2024-11-11T00:00:00"/>
    <x v="0"/>
    <n v="15"/>
    <x v="0"/>
    <x v="0"/>
    <x v="0"/>
    <x v="0"/>
    <n v="20"/>
    <n v="15"/>
    <n v="50"/>
  </r>
  <r>
    <n v="3491"/>
    <x v="249"/>
    <x v="2"/>
    <d v="2024-11-12T00:00:00"/>
    <x v="1"/>
    <n v="10"/>
    <x v="0"/>
    <x v="1"/>
    <x v="1"/>
    <x v="0"/>
    <n v="20"/>
    <n v="5"/>
    <n v="25"/>
  </r>
  <r>
    <n v="3492"/>
    <x v="250"/>
    <x v="1"/>
    <d v="2024-11-13T00:00:00"/>
    <x v="0"/>
    <n v="5"/>
    <x v="1"/>
    <x v="1"/>
    <x v="1"/>
    <x v="1"/>
    <n v="0"/>
    <n v="0"/>
    <n v="5"/>
  </r>
  <r>
    <n v="3493"/>
    <x v="251"/>
    <x v="0"/>
    <d v="2024-11-14T00:00:00"/>
    <x v="1"/>
    <n v="15"/>
    <x v="2"/>
    <x v="0"/>
    <x v="0"/>
    <x v="0"/>
    <n v="20"/>
    <n v="20"/>
    <n v="45"/>
  </r>
  <r>
    <n v="3494"/>
    <x v="252"/>
    <x v="2"/>
    <d v="2024-11-15T00:00:00"/>
    <x v="0"/>
    <n v="10"/>
    <x v="2"/>
    <x v="1"/>
    <x v="1"/>
    <x v="0"/>
    <n v="20"/>
    <n v="12"/>
    <n v="18"/>
  </r>
  <r>
    <n v="3495"/>
    <x v="253"/>
    <x v="1"/>
    <d v="2024-11-16T00:00:00"/>
    <x v="1"/>
    <n v="5"/>
    <x v="0"/>
    <x v="1"/>
    <x v="1"/>
    <x v="1"/>
    <n v="0"/>
    <n v="2"/>
    <n v="3"/>
  </r>
  <r>
    <n v="3496"/>
    <x v="254"/>
    <x v="0"/>
    <d v="2024-11-17T00:00:00"/>
    <x v="0"/>
    <n v="15"/>
    <x v="1"/>
    <x v="0"/>
    <x v="0"/>
    <x v="0"/>
    <n v="20"/>
    <n v="5"/>
    <n v="60"/>
  </r>
  <r>
    <n v="3497"/>
    <x v="255"/>
    <x v="2"/>
    <d v="2024-11-18T00:00:00"/>
    <x v="1"/>
    <n v="10"/>
    <x v="0"/>
    <x v="1"/>
    <x v="1"/>
    <x v="0"/>
    <n v="20"/>
    <n v="10"/>
    <n v="20"/>
  </r>
  <r>
    <n v="3498"/>
    <x v="256"/>
    <x v="1"/>
    <d v="2024-11-19T00:00:00"/>
    <x v="0"/>
    <n v="5"/>
    <x v="2"/>
    <x v="1"/>
    <x v="1"/>
    <x v="1"/>
    <n v="0"/>
    <n v="0"/>
    <n v="5"/>
  </r>
  <r>
    <n v="3499"/>
    <x v="257"/>
    <x v="0"/>
    <d v="2024-11-20T00:00:00"/>
    <x v="1"/>
    <n v="15"/>
    <x v="0"/>
    <x v="0"/>
    <x v="0"/>
    <x v="0"/>
    <n v="20"/>
    <n v="3"/>
    <n v="62"/>
  </r>
  <r>
    <n v="3500"/>
    <x v="258"/>
    <x v="2"/>
    <d v="2024-11-21T00:00:00"/>
    <x v="0"/>
    <n v="10"/>
    <x v="1"/>
    <x v="1"/>
    <x v="1"/>
    <x v="0"/>
    <n v="20"/>
    <n v="15"/>
    <n v="15"/>
  </r>
  <r>
    <n v="3501"/>
    <x v="259"/>
    <x v="1"/>
    <d v="2024-11-22T00:00:00"/>
    <x v="1"/>
    <n v="5"/>
    <x v="0"/>
    <x v="1"/>
    <x v="1"/>
    <x v="1"/>
    <n v="0"/>
    <n v="1"/>
    <n v="4"/>
  </r>
  <r>
    <n v="3502"/>
    <x v="260"/>
    <x v="0"/>
    <d v="2024-11-23T00:00:00"/>
    <x v="0"/>
    <n v="15"/>
    <x v="2"/>
    <x v="0"/>
    <x v="0"/>
    <x v="0"/>
    <n v="20"/>
    <n v="7"/>
    <n v="58"/>
  </r>
  <r>
    <n v="3503"/>
    <x v="119"/>
    <x v="2"/>
    <d v="2024-11-24T00:00:00"/>
    <x v="1"/>
    <n v="10"/>
    <x v="0"/>
    <x v="1"/>
    <x v="1"/>
    <x v="0"/>
    <n v="20"/>
    <n v="10"/>
    <n v="20"/>
  </r>
  <r>
    <n v="3504"/>
    <x v="261"/>
    <x v="1"/>
    <d v="2024-11-25T00:00:00"/>
    <x v="0"/>
    <n v="5"/>
    <x v="1"/>
    <x v="1"/>
    <x v="1"/>
    <x v="1"/>
    <n v="0"/>
    <n v="0"/>
    <n v="5"/>
  </r>
  <r>
    <n v="3505"/>
    <x v="262"/>
    <x v="0"/>
    <d v="2024-11-26T00:00:00"/>
    <x v="1"/>
    <n v="15"/>
    <x v="0"/>
    <x v="0"/>
    <x v="0"/>
    <x v="0"/>
    <n v="20"/>
    <n v="20"/>
    <n v="45"/>
  </r>
  <r>
    <n v="3506"/>
    <x v="263"/>
    <x v="2"/>
    <d v="2024-11-27T00:00:00"/>
    <x v="0"/>
    <n v="10"/>
    <x v="2"/>
    <x v="1"/>
    <x v="1"/>
    <x v="0"/>
    <n v="20"/>
    <n v="15"/>
    <n v="15"/>
  </r>
  <r>
    <n v="3507"/>
    <x v="264"/>
    <x v="1"/>
    <d v="2024-11-28T00:00:00"/>
    <x v="1"/>
    <n v="5"/>
    <x v="0"/>
    <x v="1"/>
    <x v="1"/>
    <x v="1"/>
    <n v="0"/>
    <n v="1"/>
    <n v="4"/>
  </r>
  <r>
    <n v="3508"/>
    <x v="265"/>
    <x v="0"/>
    <d v="2024-11-29T00:00:00"/>
    <x v="0"/>
    <n v="15"/>
    <x v="1"/>
    <x v="0"/>
    <x v="0"/>
    <x v="0"/>
    <n v="20"/>
    <n v="3"/>
    <n v="62"/>
  </r>
  <r>
    <n v="3509"/>
    <x v="266"/>
    <x v="2"/>
    <d v="2024-11-30T00:00:00"/>
    <x v="1"/>
    <n v="10"/>
    <x v="0"/>
    <x v="1"/>
    <x v="1"/>
    <x v="0"/>
    <n v="20"/>
    <n v="10"/>
    <n v="20"/>
  </r>
  <r>
    <n v="3510"/>
    <x v="267"/>
    <x v="1"/>
    <d v="2024-12-01T00:00:00"/>
    <x v="0"/>
    <n v="5"/>
    <x v="2"/>
    <x v="1"/>
    <x v="1"/>
    <x v="1"/>
    <n v="0"/>
    <n v="0"/>
    <n v="5"/>
  </r>
  <r>
    <n v="3511"/>
    <x v="268"/>
    <x v="0"/>
    <d v="2024-12-02T00:00:00"/>
    <x v="1"/>
    <n v="15"/>
    <x v="0"/>
    <x v="0"/>
    <x v="0"/>
    <x v="0"/>
    <n v="20"/>
    <n v="15"/>
    <n v="50"/>
  </r>
  <r>
    <n v="3512"/>
    <x v="269"/>
    <x v="2"/>
    <d v="2024-12-03T00:00:00"/>
    <x v="0"/>
    <n v="10"/>
    <x v="1"/>
    <x v="1"/>
    <x v="1"/>
    <x v="0"/>
    <n v="20"/>
    <n v="15"/>
    <n v="15"/>
  </r>
  <r>
    <n v="3513"/>
    <x v="270"/>
    <x v="1"/>
    <d v="2024-12-04T00:00:00"/>
    <x v="1"/>
    <n v="5"/>
    <x v="0"/>
    <x v="1"/>
    <x v="1"/>
    <x v="1"/>
    <n v="0"/>
    <n v="1"/>
    <n v="4"/>
  </r>
  <r>
    <n v="3514"/>
    <x v="271"/>
    <x v="0"/>
    <d v="2024-12-05T00:00:00"/>
    <x v="0"/>
    <n v="15"/>
    <x v="2"/>
    <x v="0"/>
    <x v="0"/>
    <x v="0"/>
    <n v="20"/>
    <n v="7"/>
    <n v="58"/>
  </r>
  <r>
    <n v="3515"/>
    <x v="130"/>
    <x v="2"/>
    <d v="2024-12-06T00:00:00"/>
    <x v="1"/>
    <n v="10"/>
    <x v="0"/>
    <x v="1"/>
    <x v="1"/>
    <x v="0"/>
    <n v="20"/>
    <n v="10"/>
    <n v="20"/>
  </r>
  <r>
    <n v="3516"/>
    <x v="131"/>
    <x v="1"/>
    <d v="2024-12-07T00:00:00"/>
    <x v="0"/>
    <n v="5"/>
    <x v="1"/>
    <x v="1"/>
    <x v="1"/>
    <x v="1"/>
    <n v="0"/>
    <n v="0"/>
    <n v="5"/>
  </r>
  <r>
    <n v="3517"/>
    <x v="181"/>
    <x v="0"/>
    <d v="2024-12-08T00:00:00"/>
    <x v="1"/>
    <n v="15"/>
    <x v="0"/>
    <x v="0"/>
    <x v="0"/>
    <x v="0"/>
    <n v="20"/>
    <n v="20"/>
    <n v="45"/>
  </r>
  <r>
    <n v="3518"/>
    <x v="272"/>
    <x v="2"/>
    <d v="2024-12-09T00:00:00"/>
    <x v="0"/>
    <n v="10"/>
    <x v="2"/>
    <x v="1"/>
    <x v="1"/>
    <x v="0"/>
    <n v="20"/>
    <n v="12"/>
    <n v="18"/>
  </r>
  <r>
    <n v="3519"/>
    <x v="273"/>
    <x v="1"/>
    <d v="2024-12-10T00:00:00"/>
    <x v="1"/>
    <n v="5"/>
    <x v="0"/>
    <x v="1"/>
    <x v="1"/>
    <x v="1"/>
    <n v="0"/>
    <n v="2"/>
    <n v="3"/>
  </r>
  <r>
    <n v="3520"/>
    <x v="274"/>
    <x v="0"/>
    <d v="2024-12-11T00:00:00"/>
    <x v="0"/>
    <n v="15"/>
    <x v="1"/>
    <x v="0"/>
    <x v="0"/>
    <x v="0"/>
    <n v="20"/>
    <n v="5"/>
    <n v="60"/>
  </r>
  <r>
    <n v="3521"/>
    <x v="275"/>
    <x v="2"/>
    <d v="2024-12-12T00:00:00"/>
    <x v="1"/>
    <n v="10"/>
    <x v="0"/>
    <x v="1"/>
    <x v="1"/>
    <x v="0"/>
    <n v="20"/>
    <n v="10"/>
    <n v="20"/>
  </r>
  <r>
    <n v="3522"/>
    <x v="276"/>
    <x v="1"/>
    <d v="2024-12-13T00:00:00"/>
    <x v="0"/>
    <n v="5"/>
    <x v="2"/>
    <x v="1"/>
    <x v="1"/>
    <x v="1"/>
    <n v="0"/>
    <n v="0"/>
    <n v="5"/>
  </r>
  <r>
    <n v="3523"/>
    <x v="277"/>
    <x v="0"/>
    <d v="2024-12-14T00:00:00"/>
    <x v="1"/>
    <n v="15"/>
    <x v="0"/>
    <x v="0"/>
    <x v="0"/>
    <x v="0"/>
    <n v="20"/>
    <n v="3"/>
    <n v="62"/>
  </r>
  <r>
    <n v="3524"/>
    <x v="278"/>
    <x v="2"/>
    <d v="2024-12-15T00:00:00"/>
    <x v="0"/>
    <n v="10"/>
    <x v="1"/>
    <x v="1"/>
    <x v="1"/>
    <x v="0"/>
    <n v="20"/>
    <n v="15"/>
    <n v="15"/>
  </r>
  <r>
    <n v="3525"/>
    <x v="279"/>
    <x v="1"/>
    <d v="2024-12-16T00:00:00"/>
    <x v="1"/>
    <n v="5"/>
    <x v="0"/>
    <x v="1"/>
    <x v="1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4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B42:D46" firstHeaderRow="0" firstDataRow="1" firstDataCol="1" rowPageCount="1" colPageCount="1"/>
  <pivotFields count="13">
    <pivotField showAll="0"/>
    <pivotField showAll="0"/>
    <pivotField axis="axisRow" dataField="1" showAll="0">
      <items count="4">
        <item x="1"/>
        <item x="2"/>
        <item x="0"/>
        <item t="default"/>
      </items>
    </pivotField>
    <pivotField numFmtId="14" showAll="0"/>
    <pivotField showAll="0"/>
    <pivotField dataField="1"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6" item="0" hier="-1"/>
  </pageFields>
  <dataFields count="2">
    <dataField name="Total Subscribers" fld="2" subtotal="count" baseField="2" baseItem="0"/>
    <dataField name="Total Revenue" fld="5" baseField="2" baseItem="0" numFmtId="44"/>
  </dataFields>
  <formats count="1"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B28:C32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bl_dinamica_ea_play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B18:C22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9">
  <location ref="B9:C1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1" baseItem="0" numFmtId="164"/>
  </dataFields>
  <chartFormats count="2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abela dinâmica2"/>
    <pivotTable tabId="3" name="tbl_dinamica_ea_play"/>
    <pivotTable tabId="3" name="Tabela dinâmica1"/>
    <pivotTable tabId="3" name="Tabela dinâmica4"/>
  </pivotTables>
  <data>
    <tabular pivotCacheId="1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" cache="SegmentaçãodeDados_Subscription_Type" caption="Subscription Type" style="SlicerStyleDark6 2 2" rowHeight="241300"/>
</slicers>
</file>

<file path=xl/tables/table1.xml><?xml version="1.0" encoding="utf-8"?>
<table xmlns="http://schemas.openxmlformats.org/spreadsheetml/2006/main" id="1" name="Tabela1" displayName="Tabela1" ref="A1:M296" totalsRowShown="0" dataDxfId="14">
  <autoFilter ref="A1:M296"/>
  <tableColumns count="13">
    <tableColumn id="1" name="Subscriber ID" dataDxfId="13"/>
    <tableColumn id="2" name="Name" dataDxfId="12"/>
    <tableColumn id="3" name="Plan" dataDxfId="11"/>
    <tableColumn id="4" name="Start Date" dataDxfId="10"/>
    <tableColumn id="5" name="Auto Renewal" dataDxfId="9"/>
    <tableColumn id="6" name="Subscription Price" dataDxfId="8" dataCellStyle="Moeda"/>
    <tableColumn id="7" name="Subscription Type" dataDxfId="7"/>
    <tableColumn id="8" name="EA Play Season Pass" dataDxfId="6"/>
    <tableColumn id="13" name="EA Play Season Pass_x000a_Price" dataDxfId="5" dataCellStyle="Moeda"/>
    <tableColumn id="9" name="Minecraft Season Pass" dataDxfId="4"/>
    <tableColumn id="10" name="Minecraft Season Pass Price" dataDxfId="3" dataCellStyle="Moeda"/>
    <tableColumn id="11" name="Coupon Value" dataDxfId="2" dataCellStyle="Moeda"/>
    <tableColumn id="12" name="Total Value" dataDxfId="1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3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1"/>
  <sheetViews>
    <sheetView showGridLines="0" topLeftCell="A10" zoomScaleNormal="100" workbookViewId="0">
      <selection activeCell="E5" sqref="E5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zoomScale="90" zoomScaleNormal="90" workbookViewId="0">
      <selection activeCell="H19" sqref="H19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2:G46"/>
  <sheetViews>
    <sheetView showGridLines="0" tabSelected="1" topLeftCell="A28" workbookViewId="0">
      <selection activeCell="J36" sqref="J36"/>
    </sheetView>
  </sheetViews>
  <sheetFormatPr defaultRowHeight="14.25"/>
  <cols>
    <col min="2" max="2" width="18" customWidth="1"/>
    <col min="3" max="3" width="16.75" customWidth="1"/>
    <col min="4" max="4" width="14.125" customWidth="1"/>
    <col min="5" max="5" width="14.5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2" spans="2:3" ht="19.5" customHeight="1">
      <c r="B2" s="27" t="s">
        <v>327</v>
      </c>
    </row>
    <row r="3" spans="2:3" ht="12.75" customHeight="1">
      <c r="B3" s="26"/>
    </row>
    <row r="4" spans="2:3" ht="21.75" customHeight="1">
      <c r="B4" s="26"/>
    </row>
    <row r="7" spans="2:3">
      <c r="B7" s="13" t="s">
        <v>16</v>
      </c>
      <c r="C7" t="s">
        <v>24</v>
      </c>
    </row>
    <row r="9" spans="2:3">
      <c r="B9" s="13" t="s">
        <v>314</v>
      </c>
      <c r="C9" t="s">
        <v>313</v>
      </c>
    </row>
    <row r="10" spans="2:3">
      <c r="B10" s="14" t="s">
        <v>23</v>
      </c>
      <c r="C10" s="15">
        <v>217</v>
      </c>
    </row>
    <row r="11" spans="2:3">
      <c r="B11" s="14" t="s">
        <v>19</v>
      </c>
      <c r="C11" s="15">
        <v>1537</v>
      </c>
    </row>
    <row r="12" spans="2:3">
      <c r="B12" s="14" t="s">
        <v>315</v>
      </c>
      <c r="C12" s="15">
        <v>1754</v>
      </c>
    </row>
    <row r="14" spans="2:3">
      <c r="B14" s="14" t="s">
        <v>324</v>
      </c>
    </row>
    <row r="16" spans="2:3">
      <c r="B16" s="13" t="s">
        <v>16</v>
      </c>
      <c r="C16" t="s">
        <v>24</v>
      </c>
    </row>
    <row r="18" spans="2:7">
      <c r="B18" s="13" t="s">
        <v>314</v>
      </c>
      <c r="C18" t="s">
        <v>317</v>
      </c>
    </row>
    <row r="19" spans="2:7">
      <c r="B19" s="14" t="s">
        <v>22</v>
      </c>
      <c r="C19" s="12">
        <v>0</v>
      </c>
    </row>
    <row r="20" spans="2:7">
      <c r="B20" s="14" t="s">
        <v>26</v>
      </c>
      <c r="C20" s="12">
        <v>0</v>
      </c>
    </row>
    <row r="21" spans="2:7">
      <c r="B21" s="14" t="s">
        <v>18</v>
      </c>
      <c r="C21" s="12">
        <v>600</v>
      </c>
    </row>
    <row r="22" spans="2:7">
      <c r="B22" s="14" t="s">
        <v>315</v>
      </c>
      <c r="C22" s="12">
        <v>600</v>
      </c>
      <c r="E22" s="19">
        <f>GETPIVOTDATA("EA Play Season Pass
Price",$B$18)</f>
        <v>600</v>
      </c>
      <c r="F22" s="20"/>
      <c r="G22" s="20"/>
    </row>
    <row r="24" spans="2:7">
      <c r="B24" s="14" t="s">
        <v>325</v>
      </c>
    </row>
    <row r="26" spans="2:7">
      <c r="B26" s="13" t="s">
        <v>16</v>
      </c>
      <c r="C26" t="s">
        <v>24</v>
      </c>
    </row>
    <row r="28" spans="2:7">
      <c r="B28" s="13" t="s">
        <v>314</v>
      </c>
      <c r="C28" t="s">
        <v>318</v>
      </c>
    </row>
    <row r="29" spans="2:7">
      <c r="B29" s="14" t="s">
        <v>22</v>
      </c>
      <c r="C29" s="12">
        <v>0</v>
      </c>
    </row>
    <row r="30" spans="2:7">
      <c r="B30" s="14" t="s">
        <v>26</v>
      </c>
      <c r="C30" s="12">
        <v>540</v>
      </c>
      <c r="E30" s="18" t="s">
        <v>319</v>
      </c>
    </row>
    <row r="31" spans="2:7">
      <c r="B31" s="14" t="s">
        <v>18</v>
      </c>
      <c r="C31" s="12">
        <v>400</v>
      </c>
    </row>
    <row r="32" spans="2:7">
      <c r="B32" s="14" t="s">
        <v>315</v>
      </c>
      <c r="C32" s="12">
        <v>940</v>
      </c>
      <c r="E32" s="19">
        <f>GETPIVOTDATA("Minecraft Season Pass Price",$B$28)</f>
        <v>940</v>
      </c>
      <c r="F32" s="20"/>
      <c r="G32" s="20"/>
    </row>
    <row r="35" spans="2:7">
      <c r="B35" s="14" t="s">
        <v>326</v>
      </c>
    </row>
    <row r="37" spans="2:7" ht="15">
      <c r="B37" s="28" t="s">
        <v>320</v>
      </c>
      <c r="C37" s="29"/>
      <c r="D37" s="29"/>
      <c r="E37" s="29"/>
      <c r="F37" s="29"/>
      <c r="G37" s="29"/>
    </row>
    <row r="38" spans="2:7" ht="15">
      <c r="B38" s="28" t="s">
        <v>323</v>
      </c>
      <c r="C38" s="29"/>
      <c r="D38" s="29"/>
      <c r="E38" s="29"/>
      <c r="F38" s="29"/>
      <c r="G38" s="29"/>
    </row>
    <row r="39" spans="2:7" s="25" customFormat="1" ht="15">
      <c r="B39" s="24"/>
    </row>
    <row r="40" spans="2:7">
      <c r="B40" s="13" t="s">
        <v>16</v>
      </c>
      <c r="C40" t="s">
        <v>24</v>
      </c>
    </row>
    <row r="42" spans="2:7">
      <c r="B42" s="13" t="s">
        <v>314</v>
      </c>
      <c r="C42" t="s">
        <v>321</v>
      </c>
      <c r="D42" t="s">
        <v>322</v>
      </c>
    </row>
    <row r="43" spans="2:7">
      <c r="B43" s="14" t="s">
        <v>22</v>
      </c>
      <c r="C43" s="12">
        <v>24</v>
      </c>
      <c r="D43" s="23">
        <v>120</v>
      </c>
    </row>
    <row r="44" spans="2:7">
      <c r="B44" s="14" t="s">
        <v>26</v>
      </c>
      <c r="C44" s="12">
        <v>27</v>
      </c>
      <c r="D44" s="23">
        <v>270</v>
      </c>
    </row>
    <row r="45" spans="2:7">
      <c r="B45" s="14" t="s">
        <v>18</v>
      </c>
      <c r="C45" s="12">
        <v>20</v>
      </c>
      <c r="D45" s="23">
        <v>300</v>
      </c>
    </row>
    <row r="46" spans="2:7">
      <c r="B46" s="14" t="s">
        <v>315</v>
      </c>
      <c r="C46" s="12">
        <v>71</v>
      </c>
      <c r="D46" s="23">
        <v>690</v>
      </c>
    </row>
  </sheetData>
  <pageMargins left="0.511811024" right="0.511811024" top="0.78740157499999996" bottom="0.78740157499999996" header="0.31496062000000002" footer="0.31496062000000002"/>
  <pageSetup paperSize="9" orientation="portrait" r:id="rId5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209"/>
  <sheetViews>
    <sheetView showGridLines="0" topLeftCell="I37" zoomScale="80" zoomScaleNormal="80" workbookViewId="0">
      <selection activeCell="T47" sqref="T47"/>
    </sheetView>
  </sheetViews>
  <sheetFormatPr defaultRowHeight="14.25"/>
  <cols>
    <col min="1" max="1" width="26.375" style="4" customWidth="1"/>
    <col min="2" max="2" width="3.625" customWidth="1"/>
    <col min="12" max="12" width="6.625" customWidth="1"/>
    <col min="19" max="19" width="4.25" customWidth="1"/>
  </cols>
  <sheetData>
    <row r="2" spans="2:25" ht="18.75" customHeight="1"/>
    <row r="3" spans="2:25" ht="18" customHeight="1" thickBot="1">
      <c r="C3" s="22" t="s">
        <v>316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21"/>
      <c r="Q3" s="21"/>
      <c r="R3" s="21"/>
      <c r="S3" s="21"/>
    </row>
    <row r="4" spans="2:25" ht="24" customHeight="1" thickTop="1"/>
    <row r="5" spans="2:25" ht="8.25" customHeight="1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2:25" ht="7.5" customHeight="1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2:25" ht="10.5" customHeight="1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2:25" ht="9.75" customHeight="1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2:25" ht="33" customHeight="1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2:2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2: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2: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2: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2: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2: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2: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>
      <c r="A27" s="1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2: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2:2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2:2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2:2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2:2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2:2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2: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2:2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2: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2: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2:2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2:2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2:2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2:2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2:2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2:2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2:2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2: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2: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2:2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2:2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2:2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2:2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2:2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2:2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2:2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2:2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2:2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2:2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2:2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2:2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2:2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2:2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2:2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2:2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2:2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2:2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2: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2: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2:2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2:25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2:25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2:25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2:25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2:2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2:2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2:25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2:25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2:25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2:25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2:2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2:25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2:2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2:2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2:2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2:25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2:25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2:25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2:25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2:25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2:25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2:25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2:2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2:2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2:25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2:25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2:25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2:25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2:25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2:25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2:25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2:2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2:2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2:25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2:25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2:25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2:2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2:25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2:25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2:25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2:2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2:2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2: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2: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2:25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2:25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2:25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2:25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2:25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2:2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2:2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2:25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2:25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2:25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2:25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2:25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2:25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2:25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2:25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2:25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2:2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2:25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2:25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2:25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2:25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2:25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2:25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2:25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2:25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2:25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2:25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2:25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2:25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2:25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2:25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2:25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2:25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2:25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2:25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2:25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2:25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2:25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2:25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2:25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2:25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2:2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2:25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2:25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2:25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2:25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spans="2:25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2:25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2:25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2:25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2:25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2:25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2:25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2:25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2:25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2:25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2:25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2:25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2:25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2:25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2:25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2:25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2:25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2:25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2:25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2:25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2:25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2:25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2:25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2:25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2:25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2:25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2:25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2:25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2:25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2:25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2:25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2:25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2:25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2:25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2:25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2:25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2:25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2:25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2:25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2:25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2:25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2:2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2:25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2:25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2:25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2:25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2:25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851b35d3-0456-4d6a-bc2f-da927e91d158"/>
    <ds:schemaRef ds:uri="http://www.w3.org/XML/1998/namespace"/>
    <ds:schemaRef ds:uri="http://purl.org/dc/dcmitype/"/>
    <ds:schemaRef ds:uri="http://schemas.openxmlformats.org/package/2006/metadata/core-properties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User</cp:lastModifiedBy>
  <dcterms:created xsi:type="dcterms:W3CDTF">2024-12-19T13:13:10Z</dcterms:created>
  <dcterms:modified xsi:type="dcterms:W3CDTF">2026-10-03T03:41:00Z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